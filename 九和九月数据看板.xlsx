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YueHuiProject\"/>
  <bookViews>
    <workbookView activeTab="0"/>
  </bookViews>
  <sheets>
    <sheet name="九和交付中心九月数据看板" sheetId="1" r:id="rId3"/>
  </sheets>
  <calcPr calcId="191029"/>
</workbook>
</file>

<file path=xl/sharedStrings.xml><?xml version="1.0" encoding="utf-8"?>
<sst xmlns="http://schemas.openxmlformats.org/spreadsheetml/2006/main" count="29" uniqueCount="29">
  <si>
    <t/>
  </si>
  <si>
    <t>所属部门</t>
  </si>
  <si>
    <t>组别</t>
  </si>
  <si>
    <t>管理</t>
  </si>
  <si>
    <t>组员人数</t>
  </si>
  <si>
    <t>BOSS账号数量</t>
  </si>
  <si>
    <t>新增微信</t>
  </si>
  <si>
    <t>预约</t>
  </si>
  <si>
    <t>到场</t>
  </si>
  <si>
    <t>合格</t>
  </si>
  <si>
    <t>本月在职</t>
  </si>
  <si>
    <t>目标在职</t>
  </si>
  <si>
    <t>达成率</t>
  </si>
  <si>
    <t>九和</t>
  </si>
  <si>
    <t>钧恒</t>
  </si>
  <si>
    <t>魏亚飞</t>
  </si>
  <si>
    <t>合计</t>
  </si>
  <si>
    <t>（截至）</t>
  </si>
  <si>
    <t>数据汇总</t>
  </si>
  <si>
    <t>2026/13/32</t>
  </si>
  <si>
    <t>姓名</t>
  </si>
  <si>
    <t>岗位</t>
  </si>
  <si>
    <t>在职</t>
  </si>
  <si>
    <t>陈娇蓉</t>
  </si>
  <si>
    <t>招聘专员</t>
  </si>
  <si>
    <t>杜 炜</t>
  </si>
  <si>
    <t>吴家如</t>
  </si>
  <si>
    <t>刘美玲</t>
  </si>
  <si>
    <t xml:space="preserve"> </t>
  </si>
</sst>
</file>

<file path=xl/styles.xml><?xml version="1.0" encoding="utf-8"?>
<styleSheet xmlns="http://schemas.openxmlformats.org/spreadsheetml/2006/main">
  <numFmts count="9">
    <numFmt numFmtId="300" formatCode="0;[Red]0"/>
    <numFmt numFmtId="301" formatCode="yyyy&quot;年&quot;m&quot;月&quot;d&quot;日&quot;;@"/>
    <numFmt numFmtId="302" formatCode="yyyy/m/d;@"/>
    <numFmt numFmtId="303" formatCode="General"/>
    <numFmt numFmtId="304" formatCode="_ * #,##0.00_ ;_ * \-#,##0.00_ ;_ * &quot;-&quot;??_ ;_ @_ "/>
    <numFmt numFmtId="305" formatCode="_ &quot;￥&quot;* #,##0_ ;_ &quot;￥&quot;* \-#,##0_ ;_ &quot;￥&quot;* &quot;-&quot;_ ;_ @_ "/>
    <numFmt numFmtId="306" formatCode="_ &quot;￥&quot;* #,##0.00_ ;_ &quot;￥&quot;* \-#,##0.00_ ;_ &quot;￥&quot;* &quot;-&quot;??_ ;_ @_ "/>
    <numFmt numFmtId="307" formatCode="0%"/>
    <numFmt numFmtId="308" formatCode="_ * #,##0_ ;_ * \-#,##0_ ;_ * &quot;-&quot;_ ;_ @_ "/>
  </numFmts>
  <fonts count="33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color theme="1"/>
      <sz val="10"/>
      <scheme val="minor"/>
    </font>
    <font>
      <name val="等线"/>
      <charset val="134"/>
      <b val="1"/>
      <color rgb="FFFFFFFF"/>
      <sz val="9"/>
      <scheme val="minor"/>
    </font>
    <font>
      <name val="等线"/>
      <charset val="134"/>
      <b val="1"/>
      <sz val="9"/>
      <scheme val="minor"/>
    </font>
    <font>
      <charset val="134"/>
      <sz val="9"/>
      <scheme val="minor"/>
    </font>
    <font>
      <name val="等线"/>
      <charset val="134"/>
      <color rgb="FFFFFFFF"/>
      <sz val="10"/>
      <scheme val="minor"/>
    </font>
    <font>
      <name val="等线"/>
      <charset val="134"/>
      <sz val="10"/>
      <scheme val="minor"/>
    </font>
    <font>
      <name val="等线"/>
      <charset val="134"/>
      <b val="1"/>
      <color rgb="FF000000"/>
      <sz val="10"/>
      <scheme val="minor"/>
    </font>
    <font>
      <name val="等线"/>
      <charset val="134"/>
      <b val="1"/>
      <color rgb="FFFFFFFF"/>
      <sz val="10"/>
      <scheme val="minor"/>
    </font>
    <font>
      <name val="等线"/>
      <charset val="134"/>
      <sz val="9"/>
      <scheme val="minor"/>
    </font>
    <font>
      <name val="等线"/>
      <charset val="134"/>
      <color rgb="FFFFFFFF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b val="1"/>
      <color theme="3"/>
      <sz val="13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1F4E78"/>
        <bgColor indexed="64"/>
      </patternFill>
    </fill>
    <fill/>
    <fill>
      <patternFill patternType="solid">
        <fgColor rgb="FFF2F2F2"/>
        <bgColor auto="1"/>
      </patternFill>
    </fill>
    <fill>
      <patternFill patternType="none"/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599994"/>
        <bgColor indexed="64"/>
      </patternFill>
    </fill>
  </fills>
  <borders count="20">
    <border>
      <left/>
      <right/>
      <top/>
      <bottom/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top style="hair">
        <color rgb="FF00B0F0"/>
      </top>
      <bottom style="hair">
        <color rgb="FF00B0F0"/>
      </bottom>
      <diagonal/>
    </border>
    <border>
      <top style="hair">
        <color rgb="FF00B0F0"/>
      </top>
      <bottom style="hair">
        <color rgb="FF00B0F0"/>
      </bottom>
    </border>
    <border>
      <right style="hair">
        <color rgb="FF00B0F0"/>
      </right>
      <top style="hair">
        <color rgb="FF00B0F0"/>
      </top>
      <bottom style="hair">
        <color rgb="FF00B0F0"/>
      </bottom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top style="medium">
        <color rgb="FF00B0F0"/>
      </top>
      <bottom style="medium">
        <color rgb="FF00B0F0"/>
      </bottom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B0F0"/>
      </left>
      <right style="hair">
        <color rgb="FF00B0F0"/>
      </right>
      <top/>
      <bottom style="hair">
        <color rgb="FF00B0F0"/>
      </bottom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3" fontId="13" fillId="0" borderId="11" xfId="0">
      <alignment vertical="center"/>
    </xf>
    <xf numFmtId="303" fontId="14" fillId="15" borderId="11" xfId="0" applyNumberFormat="0" applyBorder="0" applyAlignment="0" applyProtection="0">
      <alignment vertical="center"/>
    </xf>
    <xf numFmtId="303" fontId="15" fillId="16" borderId="11" xfId="0" applyNumberFormat="0" applyBorder="0" applyAlignment="0" applyProtection="0">
      <alignment vertical="center"/>
    </xf>
    <xf numFmtId="303" fontId="15" fillId="17" borderId="11" xfId="0" applyNumberFormat="0" applyBorder="0" applyAlignment="0" applyProtection="0">
      <alignment vertical="center"/>
    </xf>
    <xf numFmtId="303" fontId="15" fillId="18" borderId="11" xfId="0" applyNumberFormat="0" applyBorder="0" applyAlignment="0" applyProtection="0">
      <alignment vertical="center"/>
    </xf>
    <xf numFmtId="303" fontId="16" fillId="4" borderId="12" xfId="0" applyNumberFormat="0" applyAlignment="0" applyProtection="0">
      <alignment vertical="center"/>
    </xf>
    <xf numFmtId="303" fontId="14" fillId="19" borderId="11" xfId="0" applyNumberFormat="0" applyBorder="0" applyAlignment="0" applyProtection="0">
      <alignment vertical="center"/>
    </xf>
    <xf numFmtId="303" fontId="17" fillId="20" borderId="13" xfId="0" applyNumberFormat="0" applyAlignment="0" applyProtection="0">
      <alignment vertical="center"/>
    </xf>
    <xf numFmtId="303" fontId="18" fillId="4" borderId="14" xfId="0" applyNumberFormat="0" applyAlignment="0" applyProtection="0">
      <alignment vertical="center"/>
    </xf>
    <xf numFmtId="303" fontId="19" fillId="21" borderId="11" xfId="0" applyNumberFormat="0" applyBorder="0" applyAlignment="0" applyProtection="0">
      <alignment vertical="center"/>
    </xf>
    <xf numFmtId="303" fontId="20" fillId="22" borderId="14" xfId="0" applyNumberFormat="0" applyAlignment="0" applyProtection="0">
      <alignment vertical="center"/>
    </xf>
    <xf numFmtId="303" fontId="14" fillId="23" borderId="11" xfId="0" applyNumberFormat="0" applyBorder="0" applyAlignment="0" applyProtection="0">
      <alignment vertical="center"/>
    </xf>
    <xf numFmtId="304" fontId="13" fillId="14" borderId="11" xfId="0" applyFont="0" applyFill="0" applyBorder="0" applyAlignment="0" applyProtection="0">
      <alignment vertical="center"/>
    </xf>
    <xf numFmtId="303" fontId="13" fillId="24" borderId="15" xfId="0" applyNumberFormat="0" applyFont="0" applyAlignment="0" applyProtection="0">
      <alignment vertical="center"/>
    </xf>
    <xf numFmtId="303" fontId="14" fillId="25" borderId="11" xfId="0" applyNumberFormat="0" applyBorder="0" applyAlignment="0" applyProtection="0">
      <alignment vertical="center"/>
    </xf>
    <xf numFmtId="305" fontId="13" fillId="14" borderId="11" xfId="0" applyFont="0" applyFill="0" applyBorder="0" applyAlignment="0" applyProtection="0">
      <alignment vertical="center"/>
    </xf>
    <xf numFmtId="303" fontId="21" fillId="26" borderId="11" xfId="0" applyNumberFormat="0" applyBorder="0" applyAlignment="0" applyProtection="0">
      <alignment vertical="center"/>
    </xf>
    <xf numFmtId="303" fontId="15" fillId="27" borderId="11" xfId="0" applyNumberFormat="0" applyBorder="0" applyAlignment="0" applyProtection="0">
      <alignment vertical="center"/>
    </xf>
    <xf numFmtId="303" fontId="15" fillId="28" borderId="11" xfId="0" applyNumberFormat="0" applyBorder="0" applyAlignment="0" applyProtection="0">
      <alignment vertical="center"/>
    </xf>
    <xf numFmtId="303" fontId="14" fillId="29" borderId="11" xfId="0" applyNumberFormat="0" applyBorder="0" applyAlignment="0" applyProtection="0">
      <alignment vertical="center"/>
    </xf>
    <xf numFmtId="303" fontId="22" fillId="14" borderId="16" xfId="0" applyNumberFormat="0" applyFill="0" applyAlignment="0" applyProtection="0">
      <alignment vertical="center"/>
    </xf>
    <xf numFmtId="303" fontId="23" fillId="14" borderId="11" xfId="0" applyNumberFormat="0" applyFill="0" applyBorder="0" applyAlignment="0" applyProtection="0">
      <alignment vertical="center"/>
    </xf>
    <xf numFmtId="303" fontId="14" fillId="30" borderId="11" xfId="0" applyNumberFormat="0" applyBorder="0" applyAlignment="0" applyProtection="0">
      <alignment vertical="center"/>
    </xf>
    <xf numFmtId="306" fontId="13" fillId="14" borderId="11" xfId="0" applyFont="0" applyFill="0" applyBorder="0" applyAlignment="0" applyProtection="0">
      <alignment vertical="center"/>
    </xf>
    <xf numFmtId="303" fontId="14" fillId="31" borderId="11" xfId="0" applyNumberFormat="0" applyBorder="0" applyAlignment="0" applyProtection="0">
      <alignment vertical="center"/>
    </xf>
    <xf numFmtId="303" fontId="15" fillId="32" borderId="11" xfId="0" applyNumberFormat="0" applyBorder="0" applyAlignment="0" applyProtection="0">
      <alignment vertical="center"/>
    </xf>
    <xf numFmtId="307" fontId="13" fillId="14" borderId="11" xfId="0" applyFont="0" applyFill="0" applyBorder="0" applyAlignment="0" applyProtection="0">
      <alignment vertical="center"/>
    </xf>
    <xf numFmtId="303" fontId="15" fillId="33" borderId="11" xfId="0" applyNumberFormat="0" applyBorder="0" applyAlignment="0" applyProtection="0">
      <alignment vertical="center"/>
    </xf>
    <xf numFmtId="303" fontId="24" fillId="14" borderId="17" xfId="0" applyNumberFormat="0" applyFill="0" applyAlignment="0" applyProtection="0">
      <alignment vertical="center"/>
    </xf>
    <xf numFmtId="308" fontId="13" fillId="14" borderId="11" xfId="0" applyFont="0" applyFill="0" applyBorder="0" applyAlignment="0" applyProtection="0">
      <alignment vertical="center"/>
    </xf>
    <xf numFmtId="303" fontId="15" fillId="34" borderId="11" xfId="0" applyNumberFormat="0" applyBorder="0" applyAlignment="0" applyProtection="0">
      <alignment vertical="center"/>
    </xf>
    <xf numFmtId="303" fontId="15" fillId="35" borderId="11" xfId="0" applyNumberFormat="0" applyBorder="0" applyAlignment="0" applyProtection="0">
      <alignment vertical="center"/>
    </xf>
    <xf numFmtId="303" fontId="25" fillId="14" borderId="11" xfId="0" applyNumberFormat="0" applyFill="0" applyBorder="0" applyAlignment="0" applyProtection="0">
      <alignment vertical="center"/>
    </xf>
    <xf numFmtId="303" fontId="26" fillId="14" borderId="11" xfId="0" applyNumberFormat="0" applyFill="0" applyBorder="0" applyAlignment="0" applyProtection="0">
      <alignment vertical="center"/>
    </xf>
    <xf numFmtId="303" fontId="14" fillId="36" borderId="11" xfId="0" applyNumberFormat="0" applyBorder="0" applyAlignment="0" applyProtection="0">
      <alignment vertical="center"/>
    </xf>
    <xf numFmtId="303" fontId="27" fillId="14" borderId="11" xfId="0" applyNumberFormat="0" applyFill="0" applyBorder="0" applyAlignment="0" applyProtection="0">
      <alignment vertical="center"/>
    </xf>
    <xf numFmtId="303" fontId="14" fillId="37" borderId="11" xfId="0" applyNumberFormat="0" applyBorder="0" applyAlignment="0" applyProtection="0">
      <alignment vertical="center"/>
    </xf>
    <xf numFmtId="303" fontId="14" fillId="38" borderId="11" xfId="0" applyNumberFormat="0" applyBorder="0" applyAlignment="0" applyProtection="0">
      <alignment vertical="center"/>
    </xf>
    <xf numFmtId="303" fontId="28" fillId="14" borderId="11" xfId="0" applyNumberFormat="0" applyFill="0" applyBorder="0" applyAlignment="0" applyProtection="0">
      <alignment vertical="center"/>
    </xf>
    <xf numFmtId="303" fontId="29" fillId="14" borderId="18" xfId="0" applyNumberFormat="0" applyFill="0" applyAlignment="0" applyProtection="0">
      <alignment vertical="center"/>
    </xf>
    <xf numFmtId="303" fontId="15" fillId="39" borderId="11" xfId="0" applyNumberFormat="0" applyBorder="0" applyAlignment="0" applyProtection="0">
      <alignment vertical="center"/>
    </xf>
    <xf numFmtId="303" fontId="14" fillId="40" borderId="11" xfId="0" applyNumberFormat="0" applyBorder="0" applyAlignment="0" applyProtection="0">
      <alignment vertical="center"/>
    </xf>
    <xf numFmtId="303" fontId="30" fillId="41" borderId="11" xfId="0" applyNumberFormat="0" applyBorder="0" applyAlignment="0" applyProtection="0">
      <alignment vertical="center"/>
    </xf>
    <xf numFmtId="303" fontId="31" fillId="14" borderId="19" xfId="0" applyNumberFormat="0" applyFill="0" applyAlignment="0" applyProtection="0">
      <alignment vertical="center"/>
    </xf>
    <xf numFmtId="303" fontId="14" fillId="42" borderId="11" xfId="0" applyNumberFormat="0" applyBorder="0" applyAlignment="0" applyProtection="0">
      <alignment vertical="center"/>
    </xf>
    <xf numFmtId="303" fontId="15" fillId="43" borderId="11" xfId="0" applyNumberFormat="0" applyBorder="0" applyAlignment="0" applyProtection="0">
      <alignment vertical="center"/>
    </xf>
    <xf numFmtId="303" fontId="32" fillId="14" borderId="16" xfId="0" applyNumberFormat="0" applyFill="0" applyAlignment="0" applyProtection="0">
      <alignment vertical="center"/>
    </xf>
    <xf numFmtId="303" fontId="29" fillId="14" borderId="11" xfId="0" applyNumberFormat="0" applyFill="0" applyBorder="0" applyAlignment="0" applyProtection="0">
      <alignment vertical="center"/>
    </xf>
    <xf numFmtId="303" fontId="15" fillId="44" borderId="11" xf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3" fontId="3" fillId="2" borderId="11" xfId="0" applyFont="1" applyFill="1" applyAlignment="1">
      <alignment horizontal="center" vertical="center"/>
    </xf>
    <xf numFmtId="303" fontId="4" fillId="3" borderId="1" xfId="0" applyFont="1" applyFill="1" applyBorder="1" applyAlignment="1">
      <alignment horizontal="center" vertical="center"/>
    </xf>
    <xf numFmtId="300" fontId="4" fillId="3" borderId="1" xfId="0" applyNumberFormat="1" applyFont="1" applyFill="1" applyBorder="1" applyAlignment="1">
      <alignment horizontal="center" vertical="center"/>
    </xf>
    <xf numFmtId="300" fontId="5" fillId="2" borderId="1" xfId="0" applyNumberFormat="1" applyFont="1" applyFill="1" applyBorder="1" applyAlignment="1">
      <alignment horizontal="center" vertical="center"/>
    </xf>
    <xf numFmtId="303" fontId="3" fillId="4" borderId="11" xfId="0" applyFont="1" applyFill="1" applyAlignment="1">
      <alignment horizontal="center" vertical="center"/>
    </xf>
    <xf numFmtId="303" fontId="3" fillId="0" borderId="11" xfId="0" applyFont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303" fontId="6" fillId="5" borderId="1" xfId="0" applyFont="1" applyFill="1" applyBorder="1" applyAlignment="1">
      <alignment horizontal="center" vertical="center"/>
    </xf>
    <xf numFmtId="303" fontId="3" fillId="5" borderId="1" xfId="0" applyFont="1" applyFill="1" applyBorder="1" applyAlignment="1">
      <alignment horizontal="center" vertical="center"/>
    </xf>
    <xf numFmtId="300" fontId="3" fillId="5" borderId="1" xfId="0" applyNumberFormat="1" applyFont="1" applyFill="1" applyBorder="1" applyAlignment="1">
      <alignment horizontal="center" vertical="center"/>
    </xf>
    <xf numFmtId="300" fontId="3" fillId="2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303" fontId="7" fillId="7" borderId="2" xfId="0" applyFont="1" applyFill="1" applyBorder="1" applyAlignment="1">
      <alignment horizontal="center" vertical="center"/>
    </xf>
    <xf fontId="0" fillId="0" borderId="3" xfId="0">
      <alignment vertical="center"/>
    </xf>
    <xf fontId="0" fillId="0" borderId="4" xfId="0">
      <alignment vertical="center"/>
    </xf>
    <xf numFmtId="303" fontId="7" fillId="7" borderId="1" xfId="0" applyFont="1" applyFill="1" applyBorder="1" applyAlignment="1">
      <alignment horizontal="center" vertical="center"/>
    </xf>
    <xf numFmtId="303" fontId="3" fillId="8" borderId="1" xfId="0" applyFont="1" applyFill="1" applyBorder="1" applyAlignment="1">
      <alignment horizontal="center" vertical="center"/>
    </xf>
    <xf numFmtId="10" fontId="8" fillId="6" borderId="1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Alignment="1">
      <alignment horizontal="center" vertical="center"/>
    </xf>
    <xf numFmtId="300" fontId="9" fillId="2" borderId="5" xfId="0" applyNumberFormat="1" applyFont="1" applyFill="1" applyBorder="1" applyAlignment="1">
      <alignment horizontal="left" vertical="center"/>
    </xf>
    <xf numFmtId="301" fontId="9" fillId="4" borderId="6" xfId="0" applyNumberFormat="1" applyFont="1" applyFill="1" applyBorder="1" applyAlignment="1">
      <alignment horizontal="center" vertical="center"/>
    </xf>
    <xf numFmtId="300" fontId="9" fillId="2" borderId="7" xfId="0" applyNumberFormat="1" applyFont="1" applyFill="1" applyBorder="1" applyAlignment="1">
      <alignment horizontal="left" vertical="center"/>
    </xf>
    <xf fontId="0" fillId="0" borderId="8" xfId="0">
      <alignment vertical="center"/>
    </xf>
    <xf numFmtId="300" fontId="10" fillId="2" borderId="11" xfId="0" applyNumberFormat="1" applyFont="1" applyFill="1" applyAlignment="1">
      <alignment horizontal="left" vertical="center"/>
    </xf>
    <xf numFmtId="300" fontId="10" fillId="2" borderId="11" xfId="0" applyNumberFormat="1" applyFont="1" applyFill="1" applyAlignment="1">
      <alignment horizontal="center" vertical="center"/>
    </xf>
    <xf numFmtId="10" fontId="10" fillId="2" borderId="11" xfId="0" applyNumberFormat="1" applyFont="1" applyFill="1" applyAlignment="1">
      <alignment horizontal="left" vertical="center"/>
    </xf>
    <xf numFmtId="302" fontId="3" fillId="2" borderId="9" xfId="0" applyNumberFormat="1" applyFont="1" applyFill="1" applyBorder="1" applyAlignment="1">
      <alignment horizontal="center" vertical="center"/>
    </xf>
    <xf numFmtId="303" fontId="3" fillId="0" borderId="9" xfId="0" applyFont="1" applyBorder="1">
      <alignment vertical="center"/>
    </xf>
    <xf numFmtId="303" fontId="4" fillId="3" borderId="10" xfId="0" applyFont="1" applyFill="1" applyBorder="1" applyAlignment="1">
      <alignment horizontal="center" vertical="center"/>
    </xf>
    <xf numFmtId="303" fontId="4" fillId="9" borderId="10" xfId="0" applyFont="1" applyFill="1" applyBorder="1" applyAlignment="1">
      <alignment horizontal="center" vertical="center"/>
    </xf>
    <xf numFmtId="300" fontId="4" fillId="9" borderId="10" xfId="0" applyNumberFormat="1" applyFont="1" applyFill="1" applyBorder="1" applyAlignment="1">
      <alignment horizontal="center" vertical="center"/>
    </xf>
    <xf numFmtId="300" fontId="4" fillId="9" borderId="1" xfId="0" applyNumberFormat="1" applyFont="1" applyFill="1" applyBorder="1" applyAlignment="1">
      <alignment horizontal="center" vertical="center"/>
    </xf>
    <xf numFmtId="10" fontId="4" fillId="9" borderId="1" xfId="0" applyNumberFormat="1" applyFont="1" applyFill="1" applyBorder="1" applyAlignment="1">
      <alignment horizontal="center" vertical="center"/>
    </xf>
    <xf numFmtId="303" fontId="11" fillId="4" borderId="1" xfId="0" applyFont="1" applyFill="1" applyBorder="1" applyAlignment="1">
      <alignment horizontal="center" vertical="center"/>
    </xf>
    <xf numFmtId="303" fontId="12" fillId="3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303" fontId="6" fillId="0" borderId="1" xfId="0" applyFont="1" applyBorder="1" applyAlignment="1">
      <alignment horizontal="center" vertical="center"/>
    </xf>
    <xf numFmtId="303" fontId="12" fillId="10" borderId="1" xfId="0" applyFont="1" applyFill="1" applyBorder="1" applyAlignment="1">
      <alignment horizontal="center" vertical="center"/>
    </xf>
    <xf numFmtId="300" fontId="12" fillId="11" borderId="1" xfId="0" applyNumberFormat="1" applyFont="1" applyFill="1" applyBorder="1" applyAlignment="1">
      <alignment horizontal="center" vertical="center"/>
    </xf>
    <xf numFmtId="300" fontId="11" fillId="2" borderId="1" xfId="0" applyNumberFormat="1" applyFont="1" applyFill="1" applyBorder="1" applyAlignment="1">
      <alignment horizontal="center" vertical="center"/>
    </xf>
    <xf numFmtId="10" fontId="12" fillId="11" borderId="1" xfId="0" applyNumberFormat="1" applyFont="1" applyFill="1" applyBorder="1" applyAlignment="1">
      <alignment horizontal="center" vertical="center"/>
    </xf>
    <xf numFmtId="0" fontId="6" fillId="12" borderId="1" xfId="0">
      <alignment horizontal="center" vertical="center" textRotation="0" indent="0" justifyLastLine="0" shrinkToFit="0"/>
    </xf>
    <xf numFmtId="0" fontId="6" fillId="13" borderId="1" xfId="0">
      <alignment horizontal="center" vertical="center" textRotation="0" indent="0" justifyLastLine="0" shrinkToFit="0"/>
    </xf>
    <xf numFmtId="0" fontId="11" fillId="2" borderId="1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303" fontId="11" fillId="0" borderId="1" xfId="0" applyFont="1" applyBorder="1" applyAlignment="1">
      <alignment horizontal="center" vertical="center"/>
    </xf>
    <xf numFmtId="303" fontId="3" fillId="0" borderId="11" xfId="0" applyFo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/>
    </xf>
    <xf numFmtId="0" fontId="6" fillId="12" borderId="1" xfId="0">
      <alignment horizontal="center" vertical="center" textRotation="0"/>
    </xf>
    <xf numFmtId="0" fontId="6" fillId="13" borderId="1" xfId="0">
      <alignment horizontal="center" vertical="center" textRotation="0"/>
    </xf>
    <xf numFmtId="303" fontId="11" fillId="2" borderId="1" xfId="0" applyFont="1" applyFill="1" applyBorder="1" applyAlignment="1">
      <alignment horizontal="center" vertical="center"/>
    </xf>
    <xf numFmtId="303" fontId="10" fillId="3" borderId="2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303" fontId="10" fillId="3" borderId="1" xfId="0" applyFont="1" applyFill="1" applyBorder="1" applyAlignment="1">
      <alignment horizontal="center" vertical="center"/>
    </xf>
    <xf numFmtId="300" fontId="10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303" fontId="5" fillId="4" borderId="1" xfId="0" applyFont="1" applyFill="1" applyBorder="1" applyAlignment="1">
      <alignment horizontal="center" vertical="center"/>
    </xf>
  </cellXfs>
  <cellStyles>
    <cellStyle name="常规" xfId="0" builtinId="0"/>
    <cellStyle name="强调文字颜色 1" xfId="1" builtinId="29"/>
    <cellStyle name="20% - 强调文字颜色 1" xfId="2" builtinId="30"/>
    <cellStyle name="40% - 强调文字颜色 1" xfId="3" builtinId="31"/>
    <cellStyle name="20% - 强调文字颜色 3" xfId="4" builtinId="38"/>
    <cellStyle name="输出" xfId="5" builtinId="21"/>
    <cellStyle name="60% - 强调文字颜色 1" xfId="6" builtinId="32"/>
    <cellStyle name="检查单元格" xfId="7" builtinId="23"/>
    <cellStyle name="计算" xfId="8" builtinId="22"/>
    <cellStyle name="差" xfId="9" builtinId="27"/>
    <cellStyle name="输入" xfId="10" builtinId="20"/>
    <cellStyle name="60% - 强调文字颜色 3" xfId="11" builtinId="40"/>
    <cellStyle name="千位分隔" xfId="12" builtinId="3"/>
    <cellStyle name="注释" xfId="13" builtinId="10"/>
    <cellStyle name="60% - 强调文字颜色 4" xfId="14" builtinId="44"/>
    <cellStyle name="货币[0]" xfId="15" builtinId="7"/>
    <cellStyle name="适中" xfId="16" builtinId="28"/>
    <cellStyle name="20% - 强调文字颜色 2" xfId="17" builtinId="34"/>
    <cellStyle name="40% - 强调文字颜色 2" xfId="18" builtinId="35"/>
    <cellStyle name="强调文字颜色 2" xfId="19" builtinId="33"/>
    <cellStyle name="标题 1" xfId="20" builtinId="16"/>
    <cellStyle name="解释性文本" xfId="21" builtinId="53"/>
    <cellStyle name="60% - 强调文字颜色 2" xfId="22" builtinId="36"/>
    <cellStyle name="货币" xfId="23" builtinId="4"/>
    <cellStyle name="强调文字颜色 4" xfId="24" builtinId="41"/>
    <cellStyle name="40% - 强调文字颜色 3" xfId="25" builtinId="39"/>
    <cellStyle name="百分比" xfId="26" builtinId="5"/>
    <cellStyle name="20% - 强调文字颜色 4" xfId="27" builtinId="42"/>
    <cellStyle name="链接单元格" xfId="28" builtinId="24"/>
    <cellStyle name="千位分隔[0]" xfId="29" builtinId="6"/>
    <cellStyle name="40% - 强调文字颜色 4" xfId="30" builtinId="43"/>
    <cellStyle name="20% - 强调文字颜色 5" xfId="31" builtinId="46"/>
    <cellStyle name="已访问的超链接" xfId="32" builtinId="9"/>
    <cellStyle name="超链接" xfId="33" builtinId="8"/>
    <cellStyle name="强调文字颜色 5" xfId="34" builtinId="45"/>
    <cellStyle name="警告文本" xfId="35" builtinId="11"/>
    <cellStyle name="60% - 强调文字颜色 5" xfId="36" builtinId="48"/>
    <cellStyle name="60% - 强调文字颜色 6" xfId="37" builtinId="52"/>
    <cellStyle name="标题" xfId="38" builtinId="15"/>
    <cellStyle name="标题 3" xfId="39" builtinId="18"/>
    <cellStyle name="20% - 强调文字颜色 6" xfId="40" builtinId="50"/>
    <cellStyle name="强调文字颜色 6" xfId="41" builtinId="49"/>
    <cellStyle name="好" xfId="42" builtinId="26"/>
    <cellStyle name="汇总" xfId="43" builtinId="25"/>
    <cellStyle name="强调文字颜色 3" xfId="44" builtinId="37"/>
    <cellStyle name="40% - 强调文字颜色 6" xfId="45" builtinId="51"/>
    <cellStyle name="标题 2" xfId="46" builtinId="17"/>
    <cellStyle name="标题 4" xfId="47" builtinId="19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九和交付中心九月数据看板"/>
  <dimension ref="FL21"/>
  <sheetViews>
    <sheetView showGridLines="1" tabSelected="0" workbookViewId="0">
      <pane xSplit="13" ySplit="6" topLeftCell="N7" activePane="bottomRight" state="frozen"/>
    </sheetView>
  </sheetViews>
  <sheetFormatPr defaultColWidth="10.2857" defaultRowHeight="12.75"/>
  <cols>
    <col min="1" max="2" width="7.68571" customWidth="1"/>
    <col min="3" max="4" width="6.07619" customWidth="1"/>
    <col min="5" max="5" width="8.4" customWidth="1"/>
    <col min="6" max="6" width="10.3008" customWidth="1"/>
    <col min="7" max="7" width="6.13281" customWidth="1"/>
    <col min="8" max="10" width="6.13281" customWidth="1"/>
    <col min="11" max="12" width="6.13281" customWidth="1"/>
    <col min="13" max="13" width="6.31429" customWidth="1"/>
    <col min="14" max="14" width="4.90234" customWidth="1"/>
    <col min="15" max="18" width="4.90234" customWidth="1"/>
    <col min="19" max="19" width="4.90234" customWidth="1"/>
    <col min="20" max="23" width="4.90234" customWidth="1"/>
    <col min="24" max="24" width="4.90234" customWidth="1"/>
    <col min="25" max="28" width="4.90234" customWidth="1"/>
    <col min="29" max="29" width="4.90234" customWidth="1"/>
    <col min="30" max="33" width="4.90234" customWidth="1"/>
    <col min="34" max="34" width="4.90234" customWidth="1"/>
    <col min="35" max="38" width="4.90234" customWidth="1"/>
    <col min="39" max="39" width="4.90234" customWidth="1"/>
    <col min="40" max="43" width="4.90234" customWidth="1"/>
    <col min="44" max="44" width="4.90234" customWidth="1"/>
    <col min="45" max="48" width="4.90234" customWidth="1"/>
    <col min="49" max="49" width="4.90234" customWidth="1"/>
    <col min="50" max="53" width="4.90234" customWidth="1"/>
    <col min="54" max="54" width="4.90234" customWidth="1"/>
    <col min="55" max="58" width="4.90234" customWidth="1"/>
    <col min="59" max="59" width="4.90234" customWidth="1"/>
    <col min="60" max="63" width="4.90234" customWidth="1"/>
    <col min="64" max="64" width="4.90234" customWidth="1"/>
    <col min="65" max="68" width="4.90234" customWidth="1"/>
    <col min="69" max="69" width="4.90234" customWidth="1"/>
    <col min="70" max="73" width="4.90234" customWidth="1"/>
    <col min="74" max="74" width="4.90234" customWidth="1"/>
    <col min="75" max="78" width="4.90234" customWidth="1"/>
    <col min="79" max="79" width="4.90234" customWidth="1"/>
    <col min="80" max="83" width="4.90234" customWidth="1"/>
    <col min="84" max="84" width="4.90234" customWidth="1"/>
    <col min="85" max="88" width="4.90234" customWidth="1"/>
    <col min="89" max="89" width="4.90234" customWidth="1"/>
    <col min="90" max="93" width="4.90234" customWidth="1"/>
    <col min="94" max="94" width="4.90234" customWidth="1"/>
    <col min="95" max="98" width="4.90234" customWidth="1"/>
    <col min="99" max="99" width="4.90234" customWidth="1"/>
    <col min="100" max="103" width="4.90234" customWidth="1"/>
    <col min="104" max="104" width="4.90234" customWidth="1"/>
    <col min="105" max="108" width="4.90234" customWidth="1"/>
    <col min="109" max="109" width="4.90234" customWidth="1"/>
    <col min="110" max="113" width="4.90234" customWidth="1"/>
    <col min="114" max="114" width="4.90234" customWidth="1"/>
    <col min="115" max="118" width="4.90234" customWidth="1"/>
    <col min="119" max="119" width="4.90234" customWidth="1"/>
    <col min="120" max="123" width="4.90234" customWidth="1"/>
    <col min="124" max="124" width="4.90234" customWidth="1"/>
    <col min="125" max="128" width="4.90234" customWidth="1"/>
    <col min="129" max="129" width="4.90234" customWidth="1"/>
    <col min="130" max="133" width="4.90234" customWidth="1"/>
    <col min="134" max="134" width="4.90234" customWidth="1"/>
    <col min="135" max="138" width="4.90234" customWidth="1"/>
    <col min="139" max="139" width="4.90234" customWidth="1"/>
    <col min="140" max="143" width="4.90234" customWidth="1"/>
    <col min="144" max="144" width="4.90234" customWidth="1"/>
    <col min="145" max="148" width="4.90234" customWidth="1"/>
    <col min="149" max="149" width="4.90234" customWidth="1"/>
    <col min="150" max="153" width="4.90234" customWidth="1"/>
    <col min="154" max="154" width="4.90234" customWidth="1"/>
    <col min="155" max="158" width="4.90234" customWidth="1"/>
    <col min="159" max="159" width="4.90234" customWidth="1"/>
    <col min="160" max="163" width="4.90234" customWidth="1"/>
    <col min="164" max="164" width="4.90234" customWidth="1"/>
    <col min="165" max="168" width="4.90234" customWidth="1"/>
  </cols>
  <sheetData>
    <row r="1" spans="1:168">
      <c r="A1" s="4" t="s"/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4" t="s"/>
      <c r="O1" s="4" t="s"/>
      <c r="P1" s="4" t="s"/>
      <c r="Q1" s="4" t="s"/>
      <c r="R1" s="4" t="s"/>
      <c r="S1" s="8" t="s"/>
      <c r="T1" s="8" t="s"/>
      <c r="U1" s="8" t="s"/>
      <c r="V1" s="8" t="s"/>
      <c r="W1" s="8" t="s"/>
      <c r="X1" s="9" t="s"/>
      <c r="Y1" s="9" t="s"/>
      <c r="Z1" s="9" t="s"/>
      <c r="AA1" s="9" t="s"/>
      <c r="AB1" s="9" t="s"/>
      <c r="AC1" s="8" t="s"/>
      <c r="AD1" s="8" t="s"/>
      <c r="AE1" s="8" t="s"/>
      <c r="AF1" s="8" t="s"/>
      <c r="AG1" s="8" t="s"/>
      <c r="AH1" s="9" t="s"/>
      <c r="AI1" s="9" t="s"/>
      <c r="AJ1" s="9" t="s"/>
      <c r="AK1" s="9" t="s"/>
      <c r="AL1" s="9" t="s"/>
      <c r="AM1" s="8" t="s"/>
      <c r="AN1" s="8" t="s"/>
      <c r="AO1" s="8" t="s"/>
      <c r="AP1" s="8" t="s"/>
      <c r="AQ1" s="8" t="s"/>
      <c r="AR1" s="9" t="s"/>
      <c r="AS1" s="9" t="s"/>
      <c r="AT1" s="9" t="s"/>
      <c r="AU1" s="9" t="s"/>
      <c r="AV1" s="9" t="s"/>
      <c r="AW1" s="8" t="s"/>
      <c r="AX1" s="8" t="s"/>
      <c r="AY1" s="8" t="s"/>
      <c r="AZ1" s="8" t="s"/>
      <c r="BA1" s="8" t="s"/>
      <c r="BB1" s="9" t="s"/>
      <c r="BC1" s="9" t="s"/>
      <c r="BD1" s="9" t="s"/>
      <c r="BE1" s="9" t="s"/>
      <c r="BF1" s="9" t="s"/>
      <c r="BG1" s="8" t="s"/>
      <c r="BH1" s="8" t="s"/>
      <c r="BI1" s="8" t="s"/>
      <c r="BJ1" s="8" t="s"/>
      <c r="BK1" s="8" t="s"/>
      <c r="BL1" s="9" t="s"/>
      <c r="BM1" s="9" t="s"/>
      <c r="BN1" s="9" t="s"/>
      <c r="BO1" s="9" t="s"/>
      <c r="BP1" s="9" t="s"/>
      <c r="BQ1" s="8" t="s"/>
      <c r="BR1" s="8" t="s"/>
      <c r="BS1" s="8" t="s"/>
      <c r="BT1" s="8" t="s"/>
      <c r="BU1" s="8" t="s"/>
      <c r="BV1" s="9" t="s"/>
      <c r="BW1" s="9" t="s"/>
      <c r="BX1" s="9" t="s"/>
      <c r="BY1" s="9" t="s"/>
      <c r="BZ1" s="9" t="s"/>
      <c r="CA1" s="8" t="s"/>
      <c r="CB1" s="8" t="s"/>
      <c r="CC1" s="8" t="s"/>
      <c r="CD1" s="8" t="s"/>
      <c r="CE1" s="8" t="s"/>
      <c r="CF1" s="9" t="s"/>
      <c r="CG1" s="9" t="s"/>
      <c r="CH1" s="9" t="s"/>
      <c r="CI1" s="9" t="s"/>
      <c r="CJ1" s="9" t="s"/>
      <c r="CK1" s="8" t="s"/>
      <c r="CL1" s="8" t="s"/>
      <c r="CM1" s="8" t="s"/>
      <c r="CN1" s="8" t="s"/>
      <c r="CO1" s="8" t="s"/>
      <c r="CP1" s="9" t="s"/>
      <c r="CQ1" s="9" t="s"/>
      <c r="CR1" s="9" t="s"/>
      <c r="CS1" s="9" t="s"/>
      <c r="CT1" s="9" t="s"/>
      <c r="CU1" s="8" t="s"/>
      <c r="CV1" s="8" t="s"/>
      <c r="CW1" s="8" t="s"/>
      <c r="CX1" s="8" t="s"/>
      <c r="CY1" s="8" t="s"/>
      <c r="CZ1" s="9" t="s"/>
      <c r="DA1" s="9" t="s"/>
      <c r="DB1" s="9" t="s"/>
      <c r="DC1" s="9" t="s"/>
      <c r="DD1" s="9" t="s"/>
      <c r="DE1" s="8" t="s"/>
      <c r="DF1" s="8" t="s"/>
      <c r="DG1" s="8" t="s"/>
      <c r="DH1" s="8" t="s"/>
      <c r="DI1" s="8" t="s"/>
      <c r="DJ1" s="9" t="s"/>
      <c r="DK1" s="9" t="s"/>
      <c r="DL1" s="9" t="s"/>
      <c r="DM1" s="9" t="s"/>
      <c r="DN1" s="9" t="s"/>
      <c r="DO1" s="8" t="s"/>
      <c r="DP1" s="8" t="s"/>
      <c r="DQ1" s="8" t="s"/>
      <c r="DR1" s="8" t="s"/>
      <c r="DS1" s="8" t="s"/>
      <c r="DT1" s="9" t="s"/>
      <c r="DU1" s="9" t="s"/>
      <c r="DV1" s="9" t="s"/>
      <c r="DW1" s="9" t="s"/>
      <c r="DX1" s="9" t="s"/>
      <c r="DY1" s="8" t="s"/>
      <c r="DZ1" s="8" t="s"/>
      <c r="EA1" s="8" t="s"/>
      <c r="EB1" s="8" t="s"/>
      <c r="EC1" s="8" t="s"/>
      <c r="ED1" s="9" t="s"/>
      <c r="EE1" s="9" t="s"/>
      <c r="EF1" s="9" t="s"/>
      <c r="EG1" s="9" t="s"/>
      <c r="EH1" s="9" t="s"/>
      <c r="EI1" s="8" t="s"/>
      <c r="EJ1" s="8" t="s"/>
      <c r="EK1" s="8" t="s"/>
      <c r="EL1" s="8" t="s"/>
      <c r="EM1" s="8" t="s"/>
      <c r="EN1" s="9" t="s"/>
      <c r="EO1" s="9" t="s"/>
      <c r="EP1" s="9" t="s"/>
      <c r="EQ1" s="9" t="s"/>
      <c r="ER1" s="9" t="s"/>
      <c r="ES1" s="8" t="s"/>
      <c r="ET1" s="8" t="s"/>
      <c r="EU1" s="8" t="s"/>
      <c r="EV1" s="8" t="s"/>
      <c r="EW1" s="8" t="s"/>
      <c r="EX1" s="9" t="s"/>
      <c r="EY1" s="9" t="s"/>
      <c r="EZ1" s="9" t="s"/>
      <c r="FA1" s="9" t="s"/>
      <c r="FB1" s="9" t="s"/>
      <c r="FC1" s="8" t="s"/>
      <c r="FD1" s="8" t="s"/>
      <c r="FE1" s="8" t="s"/>
      <c r="FF1" s="8" t="s"/>
      <c r="FG1" s="8" t="s"/>
      <c r="FH1" s="9" t="s"/>
      <c r="FI1" s="9" t="s"/>
      <c r="FJ1" s="9" t="s"/>
      <c r="FK1" s="9" t="s"/>
      <c r="FL1" s="9" t="s"/>
    </row>
    <row r="2" spans="1:168">
      <c r="A2" s="4" t="s"/>
      <c r="B2" s="10" t="s">
        <v>13</v>
      </c>
      <c r="C2" s="11" t="s">
        <v>14</v>
      </c>
      <c r="D2" s="11" t="s">
        <v>15</v>
      </c>
      <c r="E2" s="12">
        <f>=COUNTIF(INDIRECT("C8:C"&amp;COUNTA(C:C)+8),#REF!)</f>
        <v>0</v>
      </c>
      <c r="F2" s="12">
        <f>=SUMIFS(F:F,A:A,B2,B:B,C2)</f>
        <v>5</v>
      </c>
      <c r="G2" s="13">
        <f>=SUM(G7:G14)</f>
        <v>517</v>
      </c>
      <c r="H2" s="13">
        <f>=SUM(H7:H14)</f>
        <v>300</v>
      </c>
      <c r="I2" s="13">
        <f>=SUM(I7:I14)</f>
        <v>190</v>
      </c>
      <c r="J2" s="13">
        <f>=SUM(J7:J14)</f>
        <v>71</v>
      </c>
      <c r="K2" s="13">
        <f>=SUM(K7:K14)</f>
        <v>36</v>
      </c>
      <c r="L2" s="14">
        <f>=10*F2</f>
        <v>50</v>
      </c>
      <c r="M2" s="15">
        <f>=K2/L2</f>
        <v>0.72</v>
      </c>
      <c r="N2" s="4" t="s"/>
      <c r="O2" s="4" t="s"/>
      <c r="P2" s="4" t="s"/>
      <c r="Q2" s="4" t="s"/>
      <c r="R2" s="4" t="s"/>
      <c r="S2" s="8" t="s"/>
      <c r="T2" s="8" t="s"/>
      <c r="U2" s="8" t="s"/>
      <c r="V2" s="8" t="s"/>
      <c r="W2" s="8" t="s"/>
      <c r="X2" s="9" t="s"/>
      <c r="Y2" s="9" t="s"/>
      <c r="Z2" s="9" t="s"/>
      <c r="AA2" s="9" t="s"/>
      <c r="AB2" s="9" t="s"/>
      <c r="AC2" s="8" t="s"/>
      <c r="AD2" s="8" t="s"/>
      <c r="AE2" s="8" t="s"/>
      <c r="AF2" s="8" t="s"/>
      <c r="AG2" s="8" t="s"/>
      <c r="AH2" s="9" t="s"/>
      <c r="AI2" s="9" t="s"/>
      <c r="AJ2" s="9" t="s"/>
      <c r="AK2" s="9" t="s"/>
      <c r="AL2" s="9" t="s"/>
      <c r="AM2" s="8" t="s"/>
      <c r="AN2" s="8" t="s"/>
      <c r="AO2" s="8" t="s"/>
      <c r="AP2" s="8" t="s"/>
      <c r="AQ2" s="8" t="s"/>
      <c r="AR2" s="9" t="s"/>
      <c r="AS2" s="9" t="s"/>
      <c r="AT2" s="9" t="s"/>
      <c r="AU2" s="9" t="s"/>
      <c r="AV2" s="9" t="s"/>
      <c r="AW2" s="8" t="s"/>
      <c r="AX2" s="8" t="s"/>
      <c r="AY2" s="8" t="s"/>
      <c r="AZ2" s="8" t="s"/>
      <c r="BA2" s="8" t="s"/>
      <c r="BB2" s="9" t="s"/>
      <c r="BC2" s="9" t="s"/>
      <c r="BD2" s="9" t="s"/>
      <c r="BF2" s="9" t="s"/>
      <c r="BG2" s="8" t="s"/>
      <c r="BH2" s="8" t="s"/>
      <c r="BI2" s="8" t="s"/>
      <c r="BJ2" s="8" t="s"/>
      <c r="BK2" s="8" t="s"/>
      <c r="BL2" s="9" t="s"/>
      <c r="BM2" s="9" t="s"/>
      <c r="BN2" s="9" t="s"/>
      <c r="BO2" s="9" t="s"/>
      <c r="BP2" s="9" t="s"/>
      <c r="BQ2" s="8" t="s"/>
      <c r="BR2" s="8" t="s"/>
      <c r="BS2" s="8" t="s"/>
      <c r="BT2" s="8" t="s"/>
      <c r="BU2" s="8" t="s"/>
      <c r="BV2" s="9" t="s"/>
      <c r="BW2" s="9" t="s"/>
      <c r="BX2" s="9" t="s"/>
      <c r="BY2" s="9" t="s"/>
      <c r="BZ2" s="9" t="s"/>
      <c r="CA2" s="8" t="s"/>
      <c r="CB2" s="8" t="s"/>
      <c r="CC2" s="8" t="s"/>
      <c r="CD2" s="8" t="s"/>
      <c r="CE2" s="8" t="s"/>
      <c r="CF2" s="9" t="s"/>
      <c r="CG2" s="9" t="s"/>
      <c r="CH2" s="9" t="s"/>
      <c r="CI2" s="9" t="s"/>
      <c r="CJ2" s="9" t="s"/>
      <c r="CK2" s="8" t="s"/>
      <c r="CL2" s="8" t="s"/>
      <c r="CM2" s="8" t="s"/>
      <c r="CN2" s="8" t="s"/>
      <c r="CO2" s="8" t="s"/>
      <c r="CP2" s="9" t="s"/>
      <c r="CQ2" s="9" t="s"/>
      <c r="CR2" s="9" t="s"/>
      <c r="CS2" s="9" t="s"/>
      <c r="CT2" s="9" t="s"/>
      <c r="CU2" s="8" t="s"/>
      <c r="CV2" s="8" t="s"/>
      <c r="CW2" s="8" t="s"/>
      <c r="CX2" s="8" t="s"/>
      <c r="CY2" s="8" t="s"/>
      <c r="CZ2" s="9" t="s"/>
      <c r="DA2" s="9" t="s"/>
      <c r="DB2" s="9" t="s"/>
      <c r="DC2" s="9" t="s"/>
      <c r="DD2" s="9" t="s"/>
      <c r="DE2" s="8" t="s"/>
      <c r="DF2" s="8" t="s"/>
      <c r="DG2" s="8" t="s"/>
      <c r="DH2" s="8" t="s"/>
      <c r="DI2" s="8" t="s"/>
      <c r="DJ2" s="9" t="s"/>
      <c r="DK2" s="9" t="s"/>
      <c r="DL2" s="9" t="s"/>
      <c r="DM2" s="9" t="s"/>
      <c r="DN2" s="9" t="s"/>
      <c r="DO2" s="8" t="s"/>
      <c r="DP2" s="8" t="s"/>
      <c r="DQ2" s="8" t="s"/>
      <c r="DR2" s="8" t="s"/>
      <c r="DS2" s="8" t="s"/>
      <c r="DT2" s="9" t="s"/>
      <c r="DU2" s="9" t="s"/>
      <c r="DV2" s="9" t="s"/>
      <c r="DW2" s="9" t="s"/>
      <c r="DX2" s="9" t="s"/>
      <c r="DY2" s="8" t="s"/>
      <c r="DZ2" s="8" t="s"/>
      <c r="EA2" s="8" t="s"/>
      <c r="EB2" s="8" t="s"/>
      <c r="EC2" s="8" t="s"/>
      <c r="ED2" s="9" t="s"/>
      <c r="EE2" s="9" t="s"/>
      <c r="EF2" s="9" t="s"/>
      <c r="EG2" s="9" t="s"/>
      <c r="EH2" s="9" t="s"/>
      <c r="EI2" s="8" t="s"/>
      <c r="EJ2" s="8" t="s"/>
      <c r="EK2" s="8" t="s"/>
      <c r="EL2" s="8" t="s"/>
      <c r="EM2" s="8" t="s"/>
      <c r="EN2" s="9" t="s"/>
      <c r="EO2" s="9" t="s"/>
      <c r="EP2" s="9" t="s"/>
      <c r="EQ2" s="9" t="s"/>
      <c r="ER2" s="9" t="s"/>
      <c r="ES2" s="8" t="s"/>
      <c r="ET2" s="8" t="s"/>
      <c r="EU2" s="8" t="s"/>
      <c r="EV2" s="8" t="s"/>
      <c r="EW2" s="8" t="s"/>
      <c r="EX2" s="9" t="s"/>
      <c r="EY2" s="9" t="s"/>
      <c r="EZ2" s="9" t="s"/>
      <c r="FA2" s="9" t="s"/>
      <c r="FB2" s="9" t="s"/>
      <c r="FC2" s="8" t="s"/>
      <c r="FD2" s="8" t="s"/>
      <c r="FE2" s="8" t="s"/>
      <c r="FF2" s="8" t="s"/>
      <c r="FG2" s="8" t="s"/>
      <c r="FH2" s="9" t="s"/>
      <c r="FI2" s="9" t="s"/>
      <c r="FJ2" s="9" t="s"/>
      <c r="FK2" s="9" t="s"/>
      <c r="FL2" s="9" t="s"/>
    </row>
    <row r="3" spans="1:168">
      <c r="A3" s="4" t="s"/>
      <c r="B3" s="16" t="s">
        <v>16</v>
      </c>
      <c r="C3" s="17" t="s"/>
      <c r="D3" s="18" t="s"/>
      <c r="E3" s="19">
        <f>=SUM(E2)</f>
        <v>0</v>
      </c>
      <c r="F3" s="19">
        <f>=SUM(F2)</f>
        <v>5</v>
      </c>
      <c r="G3" s="19">
        <f>=SUM(G2)</f>
        <v>517</v>
      </c>
      <c r="H3" s="19">
        <f>=SUM(H2)</f>
        <v>300</v>
      </c>
      <c r="I3" s="19">
        <f>=SUM(I2)</f>
        <v>190</v>
      </c>
      <c r="J3" s="19">
        <f>=SUM(J2)</f>
        <v>71</v>
      </c>
      <c r="K3" s="19">
        <f>=SUM(K2)</f>
        <v>36</v>
      </c>
      <c r="L3" s="20">
        <f>=SUM(L2)</f>
        <v>50</v>
      </c>
      <c r="M3" s="21">
        <f>=K3/L3</f>
        <v>0.72</v>
      </c>
      <c r="N3" s="4" t="s"/>
      <c r="O3" s="4" t="s"/>
      <c r="P3" s="4" t="s"/>
      <c r="Q3" s="4" t="s"/>
      <c r="R3" s="4" t="s"/>
      <c r="S3" s="8" t="s"/>
      <c r="T3" s="8" t="s"/>
      <c r="U3" s="8" t="s"/>
      <c r="V3" s="8" t="s"/>
      <c r="W3" s="8" t="s"/>
      <c r="X3" s="9" t="s"/>
      <c r="Y3" s="9" t="s"/>
      <c r="Z3" s="9" t="s"/>
      <c r="AA3" s="9" t="s"/>
      <c r="AB3" s="9" t="s"/>
      <c r="AC3" s="8" t="s"/>
      <c r="AD3" s="8" t="s"/>
      <c r="AE3" s="8" t="s"/>
      <c r="AF3" s="8" t="s"/>
      <c r="AG3" s="8" t="s"/>
      <c r="AH3" s="9" t="s"/>
      <c r="AI3" s="9" t="s"/>
      <c r="AJ3" s="9" t="s"/>
      <c r="AK3" s="9" t="s"/>
      <c r="AL3" s="9" t="s"/>
      <c r="AM3" s="8" t="s"/>
      <c r="AN3" s="8" t="s"/>
      <c r="AO3" s="8" t="s"/>
      <c r="AP3" s="8" t="s"/>
      <c r="AQ3" s="8" t="s"/>
      <c r="AR3" s="9" t="s"/>
      <c r="AS3" s="9" t="s"/>
      <c r="AT3" s="9" t="s"/>
      <c r="AU3" s="9" t="s"/>
      <c r="AV3" s="9" t="s"/>
      <c r="AW3" s="8" t="s"/>
      <c r="AX3" s="8" t="s"/>
      <c r="AY3" s="8" t="s"/>
      <c r="AZ3" s="8" t="s"/>
      <c r="BA3" s="8" t="s"/>
      <c r="BB3" s="9" t="s"/>
      <c r="BC3" s="9" t="s"/>
      <c r="BD3" s="9" t="s"/>
      <c r="BE3" s="9" t="s"/>
      <c r="BF3" s="9" t="s"/>
      <c r="BG3" s="8" t="s"/>
      <c r="BH3" s="8" t="s"/>
      <c r="BI3" s="8" t="s"/>
      <c r="BJ3" s="8" t="s"/>
      <c r="BK3" s="8" t="s"/>
      <c r="BL3" s="9" t="s"/>
      <c r="BM3" s="9" t="s"/>
      <c r="BN3" s="9" t="s"/>
      <c r="BO3" s="9" t="s"/>
      <c r="BP3" s="9" t="s"/>
      <c r="BQ3" s="8" t="s"/>
      <c r="BR3" s="8" t="s"/>
      <c r="BS3" s="8" t="s"/>
      <c r="BT3" s="8" t="s"/>
      <c r="BU3" s="8" t="s"/>
      <c r="BV3" s="9" t="s"/>
      <c r="BW3" s="9" t="s"/>
      <c r="BX3" s="9" t="s"/>
      <c r="BY3" s="9" t="s"/>
      <c r="BZ3" s="9" t="s"/>
      <c r="CA3" s="8" t="s"/>
      <c r="CB3" s="8" t="s"/>
      <c r="CC3" s="8" t="s"/>
      <c r="CD3" s="8" t="s"/>
      <c r="CE3" s="8" t="s"/>
      <c r="CF3" s="9" t="s"/>
      <c r="CG3" s="9" t="s"/>
      <c r="CH3" s="9" t="s"/>
      <c r="CI3" s="9" t="s"/>
      <c r="CJ3" s="9" t="s"/>
      <c r="CK3" s="8" t="s"/>
      <c r="CL3" s="8" t="s"/>
      <c r="CM3" s="8" t="s"/>
      <c r="CN3" s="8" t="s"/>
      <c r="CO3" s="8" t="s"/>
      <c r="CP3" s="9" t="s"/>
      <c r="CQ3" s="9" t="s"/>
      <c r="CR3" s="9" t="s"/>
      <c r="CS3" s="9" t="s"/>
      <c r="CT3" s="9" t="s"/>
      <c r="CU3" s="8" t="s"/>
      <c r="CV3" s="8" t="s"/>
      <c r="CW3" s="8" t="s"/>
      <c r="CX3" s="8" t="s"/>
      <c r="CY3" s="8" t="s"/>
      <c r="CZ3" s="9" t="s"/>
      <c r="DA3" s="9" t="s"/>
      <c r="DB3" s="9" t="s"/>
      <c r="DC3" s="9" t="s"/>
      <c r="DD3" s="9" t="s"/>
      <c r="DE3" s="8" t="s"/>
      <c r="DF3" s="8" t="s"/>
      <c r="DG3" s="8" t="s"/>
      <c r="DH3" s="8" t="s"/>
      <c r="DI3" s="8" t="s"/>
      <c r="DJ3" s="9" t="s"/>
      <c r="DK3" s="9" t="s"/>
      <c r="DL3" s="9" t="s"/>
      <c r="DM3" s="9" t="s"/>
      <c r="DN3" s="9" t="s"/>
      <c r="DO3" s="8" t="s"/>
      <c r="DP3" s="8" t="s"/>
      <c r="DQ3" s="8" t="s"/>
      <c r="DR3" s="8" t="s"/>
      <c r="DS3" s="8" t="s"/>
      <c r="DT3" s="9" t="s"/>
      <c r="DU3" s="9" t="s"/>
      <c r="DV3" s="9" t="s"/>
      <c r="DW3" s="9" t="s"/>
      <c r="DX3" s="9" t="s"/>
      <c r="DY3" s="8" t="s"/>
      <c r="DZ3" s="8" t="s"/>
      <c r="EA3" s="8" t="s"/>
      <c r="EB3" s="8" t="s"/>
      <c r="EC3" s="8" t="s"/>
      <c r="ED3" s="9" t="s"/>
      <c r="EE3" s="9" t="s"/>
      <c r="EF3" s="9" t="s"/>
      <c r="EG3" s="9" t="s"/>
      <c r="EH3" s="9" t="s"/>
      <c r="EI3" s="8" t="s"/>
      <c r="EJ3" s="8" t="s"/>
      <c r="EK3" s="8" t="s"/>
      <c r="EL3" s="8" t="s"/>
      <c r="EM3" s="8" t="s"/>
      <c r="EN3" s="9" t="s"/>
      <c r="EO3" s="9" t="s"/>
      <c r="EP3" s="9" t="s"/>
      <c r="EQ3" s="9" t="s"/>
      <c r="ER3" s="9" t="s"/>
      <c r="ES3" s="8" t="s"/>
      <c r="ET3" s="8" t="s"/>
      <c r="EU3" s="8" t="s"/>
      <c r="EV3" s="8" t="s"/>
      <c r="EW3" s="8" t="s"/>
      <c r="EX3" s="9" t="s"/>
      <c r="EY3" s="9" t="s"/>
      <c r="EZ3" s="9" t="s"/>
      <c r="FA3" s="9" t="s"/>
      <c r="FB3" s="9" t="s"/>
      <c r="FC3" s="8" t="s"/>
      <c r="FD3" s="8" t="s"/>
      <c r="FE3" s="8" t="s"/>
      <c r="FF3" s="8" t="s"/>
      <c r="FG3" s="8" t="s"/>
      <c r="FH3" s="9" t="s"/>
      <c r="FI3" s="9" t="s"/>
      <c r="FJ3" s="9" t="s"/>
      <c r="FK3" s="9" t="s"/>
      <c r="FL3" s="9" t="s"/>
    </row>
    <row r="4" spans="1:168" ht="13.5">
      <c r="A4" s="4" t="s"/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22" t="s"/>
      <c r="N4" s="4" t="s"/>
      <c r="O4" s="4" t="s"/>
      <c r="P4" s="4" t="s"/>
      <c r="Q4" s="4" t="s"/>
      <c r="R4" s="4" t="s"/>
      <c r="S4" s="8" t="s"/>
      <c r="T4" s="8" t="s"/>
      <c r="U4" s="8" t="s"/>
      <c r="V4" s="8" t="s"/>
      <c r="W4" s="8" t="s"/>
      <c r="X4" s="9" t="s"/>
      <c r="Y4" s="9" t="s"/>
      <c r="Z4" s="9" t="s"/>
      <c r="AA4" s="9" t="s"/>
      <c r="AB4" s="9" t="s"/>
      <c r="AC4" s="8" t="s"/>
      <c r="AD4" s="8" t="s"/>
      <c r="AE4" s="8" t="s"/>
      <c r="AF4" s="8" t="s"/>
      <c r="AG4" s="8" t="s"/>
      <c r="AH4" s="9" t="s"/>
      <c r="AI4" s="9" t="s"/>
      <c r="AJ4" s="9" t="s"/>
      <c r="AK4" s="9" t="s"/>
      <c r="AL4" s="9" t="s"/>
      <c r="AM4" s="8" t="s"/>
      <c r="AN4" s="8" t="s"/>
      <c r="AO4" s="8" t="s"/>
      <c r="AP4" s="8" t="s"/>
      <c r="AQ4" s="8" t="s"/>
      <c r="AR4" s="9" t="s"/>
      <c r="AS4" s="9" t="s"/>
      <c r="AT4" s="9" t="s"/>
      <c r="AU4" s="9" t="s"/>
      <c r="AV4" s="9" t="s"/>
      <c r="AW4" s="8" t="s"/>
      <c r="AX4" s="8" t="s"/>
      <c r="AY4" s="8" t="s"/>
      <c r="AZ4" s="8" t="s"/>
      <c r="BA4" s="8" t="s"/>
      <c r="BB4" s="9" t="s"/>
      <c r="BC4" s="9" t="s"/>
      <c r="BD4" s="9" t="s"/>
      <c r="BE4" s="9" t="s"/>
      <c r="BF4" s="9" t="s"/>
      <c r="BG4" s="8" t="s"/>
      <c r="BH4" s="8" t="s"/>
      <c r="BI4" s="8" t="s"/>
      <c r="BJ4" s="8" t="s"/>
      <c r="BK4" s="8" t="s"/>
      <c r="BL4" s="9" t="s"/>
      <c r="BM4" s="9" t="s"/>
      <c r="BN4" s="9" t="s"/>
      <c r="BO4" s="9" t="s"/>
      <c r="BP4" s="9" t="s"/>
      <c r="BQ4" s="8" t="s"/>
      <c r="BR4" s="8" t="s"/>
      <c r="BS4" s="8" t="s"/>
      <c r="BT4" s="8" t="s"/>
      <c r="BU4" s="8" t="s"/>
      <c r="BV4" s="9" t="s"/>
      <c r="BW4" s="9" t="s"/>
      <c r="BX4" s="9" t="s"/>
      <c r="BY4" s="9" t="s"/>
      <c r="BZ4" s="9" t="s"/>
      <c r="CA4" s="8" t="s"/>
      <c r="CB4" s="8" t="s"/>
      <c r="CC4" s="8" t="s"/>
      <c r="CD4" s="8" t="s"/>
      <c r="CE4" s="8" t="s"/>
      <c r="CF4" s="9" t="s"/>
      <c r="CG4" s="9" t="s"/>
      <c r="CH4" s="9" t="s"/>
      <c r="CI4" s="9" t="s"/>
      <c r="CJ4" s="9" t="s"/>
      <c r="CK4" s="8" t="s"/>
      <c r="CL4" s="8" t="s"/>
      <c r="CM4" s="8" t="s"/>
      <c r="CN4" s="8" t="s"/>
      <c r="CO4" s="8" t="s"/>
      <c r="CP4" s="9" t="s"/>
      <c r="CQ4" s="9" t="s"/>
      <c r="CR4" s="9" t="s"/>
      <c r="CS4" s="9" t="s"/>
      <c r="CT4" s="9" t="s"/>
      <c r="CU4" s="8" t="s"/>
      <c r="CV4" s="8" t="s"/>
      <c r="CW4" s="8" t="s"/>
      <c r="CX4" s="8" t="s"/>
      <c r="CY4" s="8" t="s"/>
      <c r="CZ4" s="9" t="s"/>
      <c r="DA4" s="9" t="s"/>
      <c r="DB4" s="9" t="s"/>
      <c r="DC4" s="9" t="s"/>
      <c r="DD4" s="9" t="s"/>
      <c r="DE4" s="8" t="s"/>
      <c r="DF4" s="8" t="s"/>
      <c r="DG4" s="8" t="s"/>
      <c r="DH4" s="8" t="s"/>
      <c r="DI4" s="8" t="s"/>
      <c r="DJ4" s="9" t="s"/>
      <c r="DK4" s="9" t="s"/>
      <c r="DL4" s="9" t="s"/>
      <c r="DM4" s="9" t="s"/>
      <c r="DN4" s="9" t="s"/>
      <c r="DO4" s="8" t="s"/>
      <c r="DP4" s="8" t="s"/>
      <c r="DQ4" s="8" t="s"/>
      <c r="DR4" s="8" t="s"/>
      <c r="DS4" s="8" t="s"/>
      <c r="DT4" s="9" t="s"/>
      <c r="DU4" s="9" t="s"/>
      <c r="DV4" s="9" t="s"/>
      <c r="DW4" s="9" t="s"/>
      <c r="DX4" s="9" t="s"/>
      <c r="DY4" s="8" t="s"/>
      <c r="DZ4" s="8" t="s"/>
      <c r="EA4" s="8" t="s"/>
      <c r="EB4" s="8" t="s"/>
      <c r="EC4" s="8" t="s"/>
      <c r="ED4" s="9" t="s"/>
      <c r="EE4" s="9" t="s"/>
      <c r="EF4" s="9" t="s"/>
      <c r="EG4" s="9" t="s"/>
      <c r="EH4" s="9" t="s"/>
      <c r="EI4" s="8" t="s"/>
      <c r="EJ4" s="8" t="s"/>
      <c r="EK4" s="8" t="s"/>
      <c r="EL4" s="8" t="s"/>
      <c r="EM4" s="8" t="s"/>
      <c r="EN4" s="9" t="s"/>
      <c r="EO4" s="9" t="s"/>
      <c r="EP4" s="9" t="s"/>
      <c r="EQ4" s="9" t="s"/>
      <c r="ER4" s="9" t="s"/>
      <c r="ES4" s="8" t="s"/>
      <c r="ET4" s="8" t="s"/>
      <c r="EU4" s="8" t="s"/>
      <c r="EV4" s="8" t="s"/>
      <c r="EW4" s="8" t="s"/>
      <c r="EX4" s="9" t="s"/>
      <c r="EY4" s="9" t="s"/>
      <c r="EZ4" s="9" t="s"/>
      <c r="FA4" s="9" t="s"/>
      <c r="FB4" s="9" t="s"/>
      <c r="FC4" s="8" t="s"/>
      <c r="FD4" s="8" t="s"/>
      <c r="FE4" s="8" t="s"/>
      <c r="FF4" s="8" t="s"/>
      <c r="FG4" s="8" t="s"/>
      <c r="FH4" s="9" t="s"/>
      <c r="FI4" s="9" t="s"/>
      <c r="FJ4" s="9" t="s"/>
      <c r="FK4" s="9" t="s"/>
      <c r="FL4" s="9" t="s"/>
    </row>
    <row r="5" spans="1:168" ht="22.5" customHeight="1">
      <c r="A5" s="4" t="s"/>
      <c r="B5" s="4" t="s"/>
      <c r="C5" s="4" t="s"/>
      <c r="D5" s="4" t="s"/>
      <c r="E5" s="23" t="s">
        <v>17</v>
      </c>
      <c r="F5" s="24">
        <v>46268</v>
      </c>
      <c r="G5" s="25" t="s">
        <v>18</v>
      </c>
      <c r="H5" s="26" t="s"/>
      <c r="I5" s="27" t="s"/>
      <c r="J5" s="27" t="s"/>
      <c r="K5" s="27" t="s"/>
      <c r="L5" s="28" t="s"/>
      <c r="M5" s="29" t="s"/>
      <c r="N5" s="30">
        <v>46266</v>
      </c>
      <c r="O5" s="31" t="s"/>
      <c r="P5" s="31" t="s"/>
      <c r="Q5" s="31" t="s"/>
      <c r="R5" s="31" t="s"/>
      <c r="S5" s="30">
        <v>46267</v>
      </c>
      <c r="T5" s="31" t="s"/>
      <c r="U5" s="31" t="s"/>
      <c r="V5" s="31" t="s"/>
      <c r="W5" s="31" t="s"/>
      <c r="X5" s="30">
        <v>46268</v>
      </c>
      <c r="Y5" s="31" t="s"/>
      <c r="Z5" s="31" t="s"/>
      <c r="AA5" s="31" t="s"/>
      <c r="AB5" s="31" t="s"/>
      <c r="AC5" s="30">
        <v>46269</v>
      </c>
      <c r="AD5" s="31" t="s"/>
      <c r="AE5" s="31" t="s"/>
      <c r="AF5" s="31" t="s"/>
      <c r="AG5" s="31" t="s"/>
      <c r="AH5" s="30">
        <v>46270</v>
      </c>
      <c r="AI5" s="31" t="s"/>
      <c r="AJ5" s="31" t="s"/>
      <c r="AK5" s="31" t="s"/>
      <c r="AL5" s="31" t="s"/>
      <c r="AM5" s="30">
        <v>46271</v>
      </c>
      <c r="AN5" s="31" t="s"/>
      <c r="AO5" s="31" t="s"/>
      <c r="AP5" s="31" t="s"/>
      <c r="AQ5" s="31" t="s"/>
      <c r="AR5" s="30">
        <v>46272</v>
      </c>
      <c r="AS5" s="31" t="s"/>
      <c r="AT5" s="31" t="s"/>
      <c r="AU5" s="31" t="s"/>
      <c r="AV5" s="31" t="s"/>
      <c r="AW5" s="30">
        <v>46273</v>
      </c>
      <c r="AX5" s="31" t="s"/>
      <c r="AY5" s="31" t="s"/>
      <c r="AZ5" s="31" t="s"/>
      <c r="BA5" s="31" t="s"/>
      <c r="BB5" s="30">
        <v>46274</v>
      </c>
      <c r="BC5" s="31" t="s"/>
      <c r="BD5" s="31" t="s"/>
      <c r="BE5" s="31" t="s"/>
      <c r="BF5" s="31" t="s"/>
      <c r="BG5" s="30">
        <v>46275</v>
      </c>
      <c r="BH5" s="31" t="s"/>
      <c r="BI5" s="31" t="s"/>
      <c r="BJ5" s="31" t="s"/>
      <c r="BK5" s="31" t="s"/>
      <c r="BL5" s="30">
        <v>46276</v>
      </c>
      <c r="BM5" s="31" t="s"/>
      <c r="BN5" s="31" t="s"/>
      <c r="BO5" s="31" t="s"/>
      <c r="BP5" s="31" t="s"/>
      <c r="BQ5" s="30">
        <v>46277</v>
      </c>
      <c r="BR5" s="31" t="s"/>
      <c r="BS5" s="31" t="s"/>
      <c r="BT5" s="31" t="s"/>
      <c r="BU5" s="31" t="s"/>
      <c r="BV5" s="30">
        <v>46278</v>
      </c>
      <c r="BW5" s="31" t="s"/>
      <c r="BX5" s="31" t="s"/>
      <c r="BY5" s="31" t="s"/>
      <c r="BZ5" s="31" t="s"/>
      <c r="CA5" s="30">
        <v>46279</v>
      </c>
      <c r="CB5" s="31" t="s"/>
      <c r="CC5" s="31" t="s"/>
      <c r="CD5" s="31" t="s"/>
      <c r="CE5" s="31" t="s"/>
      <c r="CF5" s="30">
        <v>46280</v>
      </c>
      <c r="CG5" s="31" t="s"/>
      <c r="CH5" s="31" t="s"/>
      <c r="CI5" s="31" t="s"/>
      <c r="CJ5" s="31" t="s"/>
      <c r="CK5" s="30">
        <v>46281</v>
      </c>
      <c r="CL5" s="31" t="s"/>
      <c r="CM5" s="31" t="s"/>
      <c r="CN5" s="31" t="s"/>
      <c r="CO5" s="31" t="s"/>
      <c r="CP5" s="30">
        <v>46282</v>
      </c>
      <c r="CQ5" s="31" t="s"/>
      <c r="CR5" s="31" t="s"/>
      <c r="CS5" s="31" t="s"/>
      <c r="CT5" s="31" t="s"/>
      <c r="CU5" s="30">
        <v>46283</v>
      </c>
      <c r="CV5" s="31" t="s"/>
      <c r="CW5" s="31" t="s"/>
      <c r="CX5" s="31" t="s"/>
      <c r="CY5" s="31" t="s"/>
      <c r="CZ5" s="30">
        <v>46284</v>
      </c>
      <c r="DA5" s="31" t="s"/>
      <c r="DB5" s="31" t="s"/>
      <c r="DC5" s="31" t="s"/>
      <c r="DD5" s="31" t="s"/>
      <c r="DE5" s="30">
        <v>46285</v>
      </c>
      <c r="DF5" s="31" t="s"/>
      <c r="DG5" s="31" t="s"/>
      <c r="DH5" s="31" t="s"/>
      <c r="DI5" s="31" t="s"/>
      <c r="DJ5" s="30">
        <v>46286</v>
      </c>
      <c r="DK5" s="31" t="s"/>
      <c r="DL5" s="31" t="s"/>
      <c r="DM5" s="31" t="s"/>
      <c r="DN5" s="31" t="s"/>
      <c r="DO5" s="30">
        <v>46287</v>
      </c>
      <c r="DP5" s="31" t="s"/>
      <c r="DQ5" s="31" t="s"/>
      <c r="DR5" s="31" t="s"/>
      <c r="DS5" s="31" t="s"/>
      <c r="DT5" s="30">
        <v>46288</v>
      </c>
      <c r="DU5" s="31" t="s"/>
      <c r="DV5" s="31" t="s"/>
      <c r="DW5" s="31" t="s"/>
      <c r="DX5" s="31" t="s"/>
      <c r="DY5" s="30">
        <v>46289</v>
      </c>
      <c r="DZ5" s="31" t="s"/>
      <c r="EA5" s="31" t="s"/>
      <c r="EB5" s="31" t="s"/>
      <c r="EC5" s="31" t="s"/>
      <c r="ED5" s="30">
        <v>46290</v>
      </c>
      <c r="EE5" s="31" t="s"/>
      <c r="EF5" s="31" t="s"/>
      <c r="EG5" s="31" t="s"/>
      <c r="EH5" s="31" t="s"/>
      <c r="EI5" s="30">
        <v>46291</v>
      </c>
      <c r="EJ5" s="31" t="s"/>
      <c r="EK5" s="31" t="s"/>
      <c r="EL5" s="31" t="s"/>
      <c r="EM5" s="31" t="s"/>
      <c r="EN5" s="30">
        <v>46292</v>
      </c>
      <c r="EO5" s="31" t="s"/>
      <c r="EP5" s="31" t="s"/>
      <c r="EQ5" s="31" t="s"/>
      <c r="ER5" s="31" t="s"/>
      <c r="ES5" s="30">
        <v>46293</v>
      </c>
      <c r="ET5" s="31" t="s"/>
      <c r="EU5" s="31" t="s"/>
      <c r="EV5" s="31" t="s"/>
      <c r="EW5" s="31" t="s"/>
      <c r="EX5" s="30">
        <v>46294</v>
      </c>
      <c r="EY5" s="31" t="s"/>
      <c r="EZ5" s="31" t="s"/>
      <c r="FA5" s="31" t="s"/>
      <c r="FB5" s="31" t="s"/>
      <c r="FC5" s="30">
        <v>46295</v>
      </c>
      <c r="FD5" s="31" t="s"/>
      <c r="FE5" s="31" t="s"/>
      <c r="FF5" s="31" t="s"/>
      <c r="FG5" s="31" t="s"/>
      <c r="FH5" s="30" t="s">
        <v>19</v>
      </c>
      <c r="FI5" s="31" t="s"/>
      <c r="FJ5" s="31" t="s"/>
      <c r="FK5" s="31" t="s"/>
      <c r="FL5" s="31" t="s"/>
    </row>
    <row r="6" spans="1:168">
      <c r="A6" s="5" t="s">
        <v>1</v>
      </c>
      <c r="B6" s="5" t="s">
        <v>2</v>
      </c>
      <c r="C6" s="5" t="s">
        <v>3</v>
      </c>
      <c r="D6" s="5" t="s">
        <v>20</v>
      </c>
      <c r="E6" s="32" t="s">
        <v>21</v>
      </c>
      <c r="F6" s="33" t="s">
        <v>5</v>
      </c>
      <c r="G6" s="34" t="s">
        <v>6</v>
      </c>
      <c r="H6" s="35" t="s">
        <v>7</v>
      </c>
      <c r="I6" s="35" t="s">
        <v>8</v>
      </c>
      <c r="J6" s="35" t="s">
        <v>9</v>
      </c>
      <c r="K6" s="35" t="s">
        <v>22</v>
      </c>
      <c r="L6" s="35" t="s">
        <v>11</v>
      </c>
      <c r="M6" s="36" t="s">
        <v>12</v>
      </c>
      <c r="N6" s="6" t="s">
        <v>6</v>
      </c>
      <c r="O6" s="6" t="s">
        <v>7</v>
      </c>
      <c r="P6" s="6" t="s">
        <v>8</v>
      </c>
      <c r="Q6" s="6" t="s">
        <v>9</v>
      </c>
      <c r="R6" s="6" t="s">
        <v>22</v>
      </c>
      <c r="S6" s="37" t="s">
        <v>6</v>
      </c>
      <c r="T6" s="37" t="s">
        <v>7</v>
      </c>
      <c r="U6" s="37" t="s">
        <v>8</v>
      </c>
      <c r="V6" s="37" t="s">
        <v>9</v>
      </c>
      <c r="W6" s="37" t="s">
        <v>22</v>
      </c>
      <c r="X6" s="38" t="s">
        <v>6</v>
      </c>
      <c r="Y6" s="38" t="s">
        <v>7</v>
      </c>
      <c r="Z6" s="38" t="s">
        <v>8</v>
      </c>
      <c r="AA6" s="38" t="s">
        <v>9</v>
      </c>
      <c r="AB6" s="38" t="s">
        <v>22</v>
      </c>
      <c r="AC6" s="37" t="s">
        <v>6</v>
      </c>
      <c r="AD6" s="37" t="s">
        <v>7</v>
      </c>
      <c r="AE6" s="37" t="s">
        <v>8</v>
      </c>
      <c r="AF6" s="37" t="s">
        <v>9</v>
      </c>
      <c r="AG6" s="37" t="s">
        <v>22</v>
      </c>
      <c r="AH6" s="38" t="s">
        <v>6</v>
      </c>
      <c r="AI6" s="38" t="s">
        <v>7</v>
      </c>
      <c r="AJ6" s="38" t="s">
        <v>8</v>
      </c>
      <c r="AK6" s="38" t="s">
        <v>9</v>
      </c>
      <c r="AL6" s="38" t="s">
        <v>22</v>
      </c>
      <c r="AM6" s="37" t="s">
        <v>6</v>
      </c>
      <c r="AN6" s="37" t="s">
        <v>7</v>
      </c>
      <c r="AO6" s="37" t="s">
        <v>8</v>
      </c>
      <c r="AP6" s="37" t="s">
        <v>9</v>
      </c>
      <c r="AQ6" s="37" t="s">
        <v>22</v>
      </c>
      <c r="AR6" s="38" t="s">
        <v>6</v>
      </c>
      <c r="AS6" s="38" t="s">
        <v>7</v>
      </c>
      <c r="AT6" s="38" t="s">
        <v>8</v>
      </c>
      <c r="AU6" s="38" t="s">
        <v>9</v>
      </c>
      <c r="AV6" s="38" t="s">
        <v>22</v>
      </c>
      <c r="AW6" s="37" t="s">
        <v>6</v>
      </c>
      <c r="AX6" s="37" t="s">
        <v>7</v>
      </c>
      <c r="AY6" s="37" t="s">
        <v>8</v>
      </c>
      <c r="AZ6" s="37" t="s">
        <v>9</v>
      </c>
      <c r="BA6" s="37" t="s">
        <v>22</v>
      </c>
      <c r="BB6" s="38" t="s">
        <v>6</v>
      </c>
      <c r="BC6" s="38" t="s">
        <v>7</v>
      </c>
      <c r="BD6" s="38" t="s">
        <v>8</v>
      </c>
      <c r="BE6" s="38" t="s">
        <v>9</v>
      </c>
      <c r="BF6" s="38" t="s">
        <v>22</v>
      </c>
      <c r="BG6" s="37" t="s">
        <v>6</v>
      </c>
      <c r="BH6" s="37" t="s">
        <v>7</v>
      </c>
      <c r="BI6" s="37" t="s">
        <v>8</v>
      </c>
      <c r="BJ6" s="37" t="s">
        <v>9</v>
      </c>
      <c r="BK6" s="37" t="s">
        <v>22</v>
      </c>
      <c r="BL6" s="38" t="s">
        <v>6</v>
      </c>
      <c r="BM6" s="38" t="s">
        <v>7</v>
      </c>
      <c r="BN6" s="38" t="s">
        <v>8</v>
      </c>
      <c r="BO6" s="38" t="s">
        <v>9</v>
      </c>
      <c r="BP6" s="38" t="s">
        <v>22</v>
      </c>
      <c r="BQ6" s="37" t="s">
        <v>6</v>
      </c>
      <c r="BR6" s="37" t="s">
        <v>7</v>
      </c>
      <c r="BS6" s="37" t="s">
        <v>8</v>
      </c>
      <c r="BT6" s="37" t="s">
        <v>9</v>
      </c>
      <c r="BU6" s="37" t="s">
        <v>22</v>
      </c>
      <c r="BV6" s="38" t="s">
        <v>6</v>
      </c>
      <c r="BW6" s="38" t="s">
        <v>7</v>
      </c>
      <c r="BX6" s="38" t="s">
        <v>8</v>
      </c>
      <c r="BY6" s="38" t="s">
        <v>9</v>
      </c>
      <c r="BZ6" s="38" t="s">
        <v>22</v>
      </c>
      <c r="CA6" s="37" t="s">
        <v>6</v>
      </c>
      <c r="CB6" s="37" t="s">
        <v>7</v>
      </c>
      <c r="CC6" s="37" t="s">
        <v>8</v>
      </c>
      <c r="CD6" s="37" t="s">
        <v>9</v>
      </c>
      <c r="CE6" s="37" t="s">
        <v>22</v>
      </c>
      <c r="CF6" s="38" t="s">
        <v>6</v>
      </c>
      <c r="CG6" s="38" t="s">
        <v>7</v>
      </c>
      <c r="CH6" s="38" t="s">
        <v>8</v>
      </c>
      <c r="CI6" s="38" t="s">
        <v>9</v>
      </c>
      <c r="CJ6" s="38" t="s">
        <v>22</v>
      </c>
      <c r="CK6" s="37" t="s">
        <v>6</v>
      </c>
      <c r="CL6" s="37" t="s">
        <v>7</v>
      </c>
      <c r="CM6" s="37" t="s">
        <v>8</v>
      </c>
      <c r="CN6" s="37" t="s">
        <v>9</v>
      </c>
      <c r="CO6" s="37" t="s">
        <v>22</v>
      </c>
      <c r="CP6" s="38" t="s">
        <v>6</v>
      </c>
      <c r="CQ6" s="38" t="s">
        <v>7</v>
      </c>
      <c r="CR6" s="38" t="s">
        <v>8</v>
      </c>
      <c r="CS6" s="38" t="s">
        <v>9</v>
      </c>
      <c r="CT6" s="38" t="s">
        <v>22</v>
      </c>
      <c r="CU6" s="37" t="s">
        <v>6</v>
      </c>
      <c r="CV6" s="37" t="s">
        <v>7</v>
      </c>
      <c r="CW6" s="37" t="s">
        <v>8</v>
      </c>
      <c r="CX6" s="37" t="s">
        <v>9</v>
      </c>
      <c r="CY6" s="37" t="s">
        <v>22</v>
      </c>
      <c r="CZ6" s="38" t="s">
        <v>6</v>
      </c>
      <c r="DA6" s="38" t="s">
        <v>7</v>
      </c>
      <c r="DB6" s="38" t="s">
        <v>8</v>
      </c>
      <c r="DC6" s="38" t="s">
        <v>9</v>
      </c>
      <c r="DD6" s="38" t="s">
        <v>22</v>
      </c>
      <c r="DE6" s="37" t="s">
        <v>6</v>
      </c>
      <c r="DF6" s="37" t="s">
        <v>7</v>
      </c>
      <c r="DG6" s="37" t="s">
        <v>8</v>
      </c>
      <c r="DH6" s="37" t="s">
        <v>9</v>
      </c>
      <c r="DI6" s="37" t="s">
        <v>22</v>
      </c>
      <c r="DJ6" s="38" t="s">
        <v>6</v>
      </c>
      <c r="DK6" s="38" t="s">
        <v>7</v>
      </c>
      <c r="DL6" s="38" t="s">
        <v>8</v>
      </c>
      <c r="DM6" s="38" t="s">
        <v>9</v>
      </c>
      <c r="DN6" s="38" t="s">
        <v>22</v>
      </c>
      <c r="DO6" s="37" t="s">
        <v>6</v>
      </c>
      <c r="DP6" s="37" t="s">
        <v>7</v>
      </c>
      <c r="DQ6" s="37" t="s">
        <v>8</v>
      </c>
      <c r="DR6" s="37" t="s">
        <v>9</v>
      </c>
      <c r="DS6" s="37" t="s">
        <v>22</v>
      </c>
      <c r="DT6" s="38" t="s">
        <v>6</v>
      </c>
      <c r="DU6" s="38" t="s">
        <v>7</v>
      </c>
      <c r="DV6" s="38" t="s">
        <v>8</v>
      </c>
      <c r="DW6" s="38" t="s">
        <v>9</v>
      </c>
      <c r="DX6" s="38" t="s">
        <v>22</v>
      </c>
      <c r="DY6" s="37" t="s">
        <v>6</v>
      </c>
      <c r="DZ6" s="37" t="s">
        <v>7</v>
      </c>
      <c r="EA6" s="37" t="s">
        <v>8</v>
      </c>
      <c r="EB6" s="37" t="s">
        <v>9</v>
      </c>
      <c r="EC6" s="37" t="s">
        <v>22</v>
      </c>
      <c r="ED6" s="38" t="s">
        <v>6</v>
      </c>
      <c r="EE6" s="38" t="s">
        <v>7</v>
      </c>
      <c r="EF6" s="38" t="s">
        <v>8</v>
      </c>
      <c r="EG6" s="38" t="s">
        <v>9</v>
      </c>
      <c r="EH6" s="38" t="s">
        <v>22</v>
      </c>
      <c r="EI6" s="37" t="s">
        <v>6</v>
      </c>
      <c r="EJ6" s="37" t="s">
        <v>7</v>
      </c>
      <c r="EK6" s="37" t="s">
        <v>8</v>
      </c>
      <c r="EL6" s="37" t="s">
        <v>9</v>
      </c>
      <c r="EM6" s="37" t="s">
        <v>22</v>
      </c>
      <c r="EN6" s="38" t="s">
        <v>6</v>
      </c>
      <c r="EO6" s="38" t="s">
        <v>7</v>
      </c>
      <c r="EP6" s="38" t="s">
        <v>8</v>
      </c>
      <c r="EQ6" s="38" t="s">
        <v>9</v>
      </c>
      <c r="ER6" s="38" t="s">
        <v>22</v>
      </c>
      <c r="ES6" s="37" t="s">
        <v>6</v>
      </c>
      <c r="ET6" s="37" t="s">
        <v>7</v>
      </c>
      <c r="EU6" s="37" t="s">
        <v>8</v>
      </c>
      <c r="EV6" s="37" t="s">
        <v>9</v>
      </c>
      <c r="EW6" s="37" t="s">
        <v>22</v>
      </c>
      <c r="EX6" s="38" t="s">
        <v>6</v>
      </c>
      <c r="EY6" s="38" t="s">
        <v>7</v>
      </c>
      <c r="EZ6" s="38" t="s">
        <v>8</v>
      </c>
      <c r="FA6" s="38" t="s">
        <v>9</v>
      </c>
      <c r="FB6" s="38" t="s">
        <v>22</v>
      </c>
      <c r="FC6" s="37" t="s">
        <v>6</v>
      </c>
      <c r="FD6" s="37" t="s">
        <v>7</v>
      </c>
      <c r="FE6" s="37" t="s">
        <v>8</v>
      </c>
      <c r="FF6" s="37" t="s">
        <v>9</v>
      </c>
      <c r="FG6" s="37" t="s">
        <v>22</v>
      </c>
      <c r="FH6" s="38" t="s">
        <v>6</v>
      </c>
      <c r="FI6" s="38" t="s">
        <v>7</v>
      </c>
      <c r="FJ6" s="38" t="s">
        <v>8</v>
      </c>
      <c r="FK6" s="38" t="s">
        <v>9</v>
      </c>
      <c r="FL6" s="38" t="s">
        <v>22</v>
      </c>
    </row>
    <row r="7" spans="1:168">
      <c r="A7" s="39" t="s">
        <v>13</v>
      </c>
      <c r="B7" s="40" t="s">
        <v>14</v>
      </c>
      <c r="C7" s="40" t="s">
        <v>15</v>
      </c>
      <c r="D7" s="40" t="s">
        <v>23</v>
      </c>
      <c r="E7" s="40" t="s">
        <v>24</v>
      </c>
      <c r="F7" s="41">
        <v>2</v>
      </c>
      <c r="G7" s="42">
        <f>=SUMIF($N$6:$FH$6,"新增微信",N7:FH7)</f>
        <v>240</v>
      </c>
      <c r="H7" s="42">
        <f>=SUMIF($O$6:$FI$6,"预约",O7:FI7)</f>
        <v>107</v>
      </c>
      <c r="I7" s="42">
        <f>=SUMIF($P$6:$FJ$6,"到场",P7:FJ7)</f>
        <v>73</v>
      </c>
      <c r="J7" s="42">
        <f>=SUMIF($Q$6:$FK$6,"合格",Q7:FK7)</f>
        <v>29</v>
      </c>
      <c r="K7" s="42">
        <f>=SUMIF($R$6:$FL$6,"在职",R7:FL7)</f>
        <v>14</v>
      </c>
      <c r="L7" s="43">
        <f>=10*F7</f>
        <v>20</v>
      </c>
      <c r="M7" s="44">
        <f>=K7/L7</f>
        <v>0.7</v>
      </c>
      <c r="N7" s="45">
        <v>29</v>
      </c>
      <c r="O7" s="45">
        <v>3</v>
      </c>
      <c r="P7" s="45">
        <v>2</v>
      </c>
      <c r="Q7" s="45">
        <v>1</v>
      </c>
      <c r="R7" s="45">
        <v>0</v>
      </c>
      <c r="S7" s="46">
        <v>25</v>
      </c>
      <c r="T7" s="46">
        <v>8</v>
      </c>
      <c r="U7" s="46">
        <v>3</v>
      </c>
      <c r="V7" s="46">
        <v>2</v>
      </c>
      <c r="W7" s="46">
        <v>1</v>
      </c>
      <c r="X7" s="47">
        <v>16</v>
      </c>
      <c r="Y7" s="47">
        <v>8</v>
      </c>
      <c r="Z7" s="47">
        <v>5</v>
      </c>
      <c r="AA7" s="47">
        <v>2</v>
      </c>
      <c r="AB7" s="47">
        <v>2</v>
      </c>
      <c r="AC7" s="48">
        <v>22</v>
      </c>
      <c r="AD7" s="48">
        <v>10</v>
      </c>
      <c r="AE7" s="48">
        <v>10</v>
      </c>
      <c r="AF7" s="48">
        <v>0</v>
      </c>
      <c r="AG7" s="48">
        <v>0</v>
      </c>
      <c r="AH7" s="47">
        <v>8</v>
      </c>
      <c r="AI7" s="47">
        <v>2</v>
      </c>
      <c r="AJ7" s="47">
        <v>2</v>
      </c>
      <c r="AK7" s="47">
        <v>1</v>
      </c>
      <c r="AL7" s="47">
        <v>0</v>
      </c>
      <c r="AM7" s="48">
        <v>23</v>
      </c>
      <c r="AN7" s="48">
        <v>2</v>
      </c>
      <c r="AO7" s="48">
        <v>1</v>
      </c>
      <c r="AP7" s="48">
        <v>0</v>
      </c>
      <c r="AQ7" s="48">
        <v>0</v>
      </c>
      <c r="AR7" s="47">
        <v>5</v>
      </c>
      <c r="AS7" s="47">
        <v>8</v>
      </c>
      <c r="AT7" s="47">
        <v>3</v>
      </c>
      <c r="AU7" s="47">
        <v>2</v>
      </c>
      <c r="AV7" s="47">
        <v>0</v>
      </c>
      <c r="AW7" s="48">
        <v>10</v>
      </c>
      <c r="AX7" s="48">
        <v>2</v>
      </c>
      <c r="AY7" s="48">
        <v>1</v>
      </c>
      <c r="AZ7" s="48">
        <v>1</v>
      </c>
      <c r="BA7" s="48">
        <v>0</v>
      </c>
      <c r="BB7" s="47">
        <v>3</v>
      </c>
      <c r="BC7" s="47">
        <v>7</v>
      </c>
      <c r="BD7" s="47">
        <v>5</v>
      </c>
      <c r="BE7" s="47">
        <v>0</v>
      </c>
      <c r="BF7" s="47">
        <v>0</v>
      </c>
      <c r="BG7" s="48">
        <v>9</v>
      </c>
      <c r="BH7" s="48">
        <v>5</v>
      </c>
      <c r="BI7" s="48">
        <v>3</v>
      </c>
      <c r="BJ7" s="48">
        <v>2</v>
      </c>
      <c r="BK7" s="48">
        <v>0</v>
      </c>
      <c r="BL7" s="47">
        <v>8</v>
      </c>
      <c r="BM7" s="47">
        <v>12</v>
      </c>
      <c r="BN7" s="47">
        <v>8</v>
      </c>
      <c r="BO7" s="47">
        <v>3</v>
      </c>
      <c r="BP7" s="47">
        <v>0</v>
      </c>
      <c r="BQ7" s="48">
        <v>23</v>
      </c>
      <c r="BR7" s="48">
        <v>3</v>
      </c>
      <c r="BS7" s="48">
        <v>2</v>
      </c>
      <c r="BT7" s="48">
        <v>0</v>
      </c>
      <c r="BU7" s="37">
        <v>4</v>
      </c>
      <c r="BV7" s="47">
        <v>13</v>
      </c>
      <c r="BW7" s="47">
        <v>3</v>
      </c>
      <c r="BX7" s="47">
        <v>3</v>
      </c>
      <c r="BY7" s="47">
        <v>1</v>
      </c>
      <c r="BZ7" s="47">
        <v>0</v>
      </c>
      <c r="CA7" s="48">
        <v>11</v>
      </c>
      <c r="CB7" s="48">
        <v>13</v>
      </c>
      <c r="CC7" s="48">
        <v>8</v>
      </c>
      <c r="CD7" s="48">
        <v>2</v>
      </c>
      <c r="CE7" s="48">
        <v>1</v>
      </c>
      <c r="CF7" s="47">
        <v>18</v>
      </c>
      <c r="CG7" s="47">
        <v>4</v>
      </c>
      <c r="CH7" s="47">
        <v>3</v>
      </c>
      <c r="CI7" s="47">
        <v>2</v>
      </c>
      <c r="CJ7" s="47">
        <v>2</v>
      </c>
      <c r="CK7" s="48">
        <v>9</v>
      </c>
      <c r="CL7" s="48">
        <v>10</v>
      </c>
      <c r="CM7" s="48">
        <v>9</v>
      </c>
      <c r="CN7" s="48">
        <v>5</v>
      </c>
      <c r="CO7" s="48">
        <v>1</v>
      </c>
      <c r="CP7" s="47">
        <v>8</v>
      </c>
      <c r="CQ7" s="47">
        <v>7</v>
      </c>
      <c r="CR7" s="47">
        <v>5</v>
      </c>
      <c r="CS7" s="47">
        <v>5</v>
      </c>
      <c r="CT7" s="47">
        <v>3</v>
      </c>
      <c r="CU7" s="37" t="s"/>
      <c r="CV7" s="37" t="s"/>
      <c r="CW7" s="37" t="s"/>
      <c r="CX7" s="37" t="s"/>
      <c r="CY7" s="37" t="s"/>
      <c r="CZ7" s="49" t="s"/>
      <c r="DA7" s="49" t="s"/>
      <c r="DB7" s="49" t="s"/>
      <c r="DC7" s="49" t="s"/>
      <c r="DD7" s="49" t="s"/>
      <c r="DE7" s="37" t="s"/>
      <c r="DF7" s="37" t="s"/>
      <c r="DG7" s="37" t="s"/>
      <c r="DH7" s="37" t="s"/>
      <c r="DI7" s="37" t="s"/>
      <c r="DJ7" s="49" t="s"/>
      <c r="DK7" s="50" t="s"/>
      <c r="DL7" s="49" t="s"/>
      <c r="DM7" s="49" t="s"/>
      <c r="DN7" s="49" t="s"/>
      <c r="DO7" s="37" t="s"/>
      <c r="DP7" s="37" t="s"/>
      <c r="DQ7" s="37" t="s"/>
      <c r="DR7" s="37" t="s"/>
      <c r="DS7" s="37" t="s"/>
      <c r="DT7" s="49" t="s"/>
      <c r="DU7" s="49" t="s"/>
      <c r="DV7" s="49" t="s"/>
      <c r="DW7" s="49" t="s"/>
      <c r="DX7" s="49" t="s"/>
      <c r="DY7" s="37" t="s"/>
      <c r="DZ7" s="37" t="s"/>
      <c r="EA7" s="37" t="s"/>
      <c r="EB7" s="37" t="s"/>
      <c r="EC7" s="37" t="s"/>
      <c r="ED7" s="49" t="s"/>
      <c r="EE7" s="49" t="s"/>
      <c r="EF7" s="49" t="s"/>
      <c r="EG7" s="49" t="s"/>
      <c r="EH7" s="49" t="s"/>
      <c r="EI7" s="37" t="s"/>
      <c r="EJ7" s="37" t="s"/>
      <c r="EK7" s="37" t="s"/>
      <c r="EL7" s="37" t="s"/>
      <c r="EM7" s="37" t="s"/>
      <c r="EN7" s="49" t="s"/>
      <c r="EO7" s="49" t="s"/>
      <c r="EP7" s="49" t="s"/>
      <c r="EQ7" s="49" t="s"/>
      <c r="ER7" s="49" t="s"/>
      <c r="ES7" s="37" t="s"/>
      <c r="ET7" s="37" t="s"/>
      <c r="EU7" s="37" t="s"/>
      <c r="EV7" s="37" t="s"/>
      <c r="EW7" s="37" t="s"/>
      <c r="EX7" s="49" t="s"/>
      <c r="EY7" s="49" t="s"/>
      <c r="EZ7" s="49" t="s"/>
      <c r="FA7" s="49" t="s"/>
      <c r="FB7" s="49" t="s"/>
      <c r="FC7" s="37" t="s"/>
      <c r="FD7" s="37" t="s"/>
      <c r="FE7" s="37" t="s"/>
      <c r="FF7" s="37" t="s"/>
      <c r="FG7" s="37" t="s"/>
      <c r="FH7" s="49" t="s"/>
      <c r="FI7" s="49" t="s"/>
      <c r="FJ7" s="49" t="s"/>
      <c r="FK7" s="49" t="s"/>
      <c r="FL7" s="51" t="s"/>
    </row>
    <row r="8" spans="1:168">
      <c r="A8" s="39" t="s">
        <v>13</v>
      </c>
      <c r="B8" s="40" t="s">
        <v>14</v>
      </c>
      <c r="C8" s="40" t="s">
        <v>15</v>
      </c>
      <c r="D8" s="40" t="s">
        <v>25</v>
      </c>
      <c r="E8" s="40" t="s">
        <v>24</v>
      </c>
      <c r="F8" s="52">
        <v>1</v>
      </c>
      <c r="G8" s="42">
        <f>=SUMIF($N$6:$FH$6,"新增微信",N8:FH8)</f>
        <v>75</v>
      </c>
      <c r="H8" s="42">
        <f>=SUMIF($O$6:$FI$6,"预约",O8:FI8)</f>
        <v>52</v>
      </c>
      <c r="I8" s="42">
        <f>=SUMIF($P$6:$FJ$6,"到场",P8:FJ8)</f>
        <v>33</v>
      </c>
      <c r="J8" s="42">
        <f>=SUMIF($Q$6:$FK$6,"合格",Q8:FK8)</f>
        <v>14</v>
      </c>
      <c r="K8" s="42">
        <f>=SUMIF($R$6:$FL$6,"在职",R8:FL8)</f>
        <v>6</v>
      </c>
      <c r="L8" s="43">
        <f>=10*F8</f>
        <v>10</v>
      </c>
      <c r="M8" s="44">
        <f>=K8/L8</f>
        <v>0.6</v>
      </c>
      <c r="N8" s="45">
        <v>8</v>
      </c>
      <c r="O8" s="45">
        <v>5</v>
      </c>
      <c r="P8" s="45">
        <v>3</v>
      </c>
      <c r="Q8" s="45">
        <v>1</v>
      </c>
      <c r="R8" s="53">
        <v>0</v>
      </c>
      <c r="S8" s="46">
        <v>7</v>
      </c>
      <c r="T8" s="46">
        <v>3</v>
      </c>
      <c r="U8" s="46">
        <v>1</v>
      </c>
      <c r="V8" s="46">
        <v>1</v>
      </c>
      <c r="W8" s="54">
        <v>0</v>
      </c>
      <c r="X8" s="47">
        <v>1</v>
      </c>
      <c r="Y8" s="47">
        <v>5</v>
      </c>
      <c r="Z8" s="47">
        <v>4</v>
      </c>
      <c r="AA8" s="47">
        <v>1</v>
      </c>
      <c r="AB8" s="47">
        <v>0</v>
      </c>
      <c r="AC8" s="48">
        <v>3</v>
      </c>
      <c r="AD8" s="48">
        <v>0</v>
      </c>
      <c r="AE8" s="48">
        <v>0</v>
      </c>
      <c r="AF8" s="48">
        <v>0</v>
      </c>
      <c r="AG8" s="48">
        <v>0</v>
      </c>
      <c r="AH8" s="47">
        <v>1</v>
      </c>
      <c r="AI8" s="47">
        <v>2</v>
      </c>
      <c r="AJ8" s="47">
        <v>1</v>
      </c>
      <c r="AK8" s="47">
        <v>0</v>
      </c>
      <c r="AL8" s="47">
        <v>1</v>
      </c>
      <c r="AM8" s="48">
        <v>6</v>
      </c>
      <c r="AN8" s="48">
        <v>3</v>
      </c>
      <c r="AO8" s="48">
        <v>2</v>
      </c>
      <c r="AP8" s="48">
        <v>2</v>
      </c>
      <c r="AQ8" s="48">
        <v>0</v>
      </c>
      <c r="AR8" s="47">
        <v>1</v>
      </c>
      <c r="AS8" s="47">
        <v>5</v>
      </c>
      <c r="AT8" s="47">
        <v>3</v>
      </c>
      <c r="AU8" s="47">
        <v>1</v>
      </c>
      <c r="AV8" s="47">
        <v>1</v>
      </c>
      <c r="AW8" s="48">
        <v>1</v>
      </c>
      <c r="AX8" s="48">
        <v>3</v>
      </c>
      <c r="AY8" s="48">
        <v>2</v>
      </c>
      <c r="AZ8" s="48">
        <v>0</v>
      </c>
      <c r="BA8" s="48">
        <v>1</v>
      </c>
      <c r="BB8" s="47">
        <v>8</v>
      </c>
      <c r="BC8" s="47">
        <v>0</v>
      </c>
      <c r="BD8" s="47">
        <v>0</v>
      </c>
      <c r="BE8" s="47">
        <v>0</v>
      </c>
      <c r="BF8" s="47">
        <v>0</v>
      </c>
      <c r="BG8" s="48">
        <v>8</v>
      </c>
      <c r="BH8" s="48">
        <v>10</v>
      </c>
      <c r="BI8" s="48">
        <v>6</v>
      </c>
      <c r="BJ8" s="48">
        <v>3</v>
      </c>
      <c r="BK8" s="48">
        <v>0</v>
      </c>
      <c r="BL8" s="47">
        <v>5</v>
      </c>
      <c r="BM8" s="47">
        <v>5</v>
      </c>
      <c r="BN8" s="47">
        <v>5</v>
      </c>
      <c r="BO8" s="47">
        <v>0</v>
      </c>
      <c r="BP8" s="47">
        <v>2</v>
      </c>
      <c r="BQ8" s="48">
        <v>7</v>
      </c>
      <c r="BR8" s="48">
        <v>0</v>
      </c>
      <c r="BS8" s="48">
        <v>0</v>
      </c>
      <c r="BT8" s="48">
        <v>0</v>
      </c>
      <c r="BU8" s="48">
        <v>0</v>
      </c>
      <c r="BV8" s="47">
        <v>4</v>
      </c>
      <c r="BW8" s="47">
        <v>2</v>
      </c>
      <c r="BX8" s="47">
        <v>1</v>
      </c>
      <c r="BY8" s="47">
        <v>1</v>
      </c>
      <c r="BZ8" s="47">
        <v>0</v>
      </c>
      <c r="CA8" s="48">
        <v>4</v>
      </c>
      <c r="CB8" s="48">
        <v>2</v>
      </c>
      <c r="CC8" s="48">
        <v>0</v>
      </c>
      <c r="CD8" s="48">
        <v>0</v>
      </c>
      <c r="CE8" s="48">
        <v>0</v>
      </c>
      <c r="CF8" s="47">
        <v>1</v>
      </c>
      <c r="CG8" s="47">
        <v>2</v>
      </c>
      <c r="CH8" s="47">
        <v>1</v>
      </c>
      <c r="CI8" s="47">
        <v>1</v>
      </c>
      <c r="CJ8" s="47">
        <v>0</v>
      </c>
      <c r="CK8" s="48">
        <v>8</v>
      </c>
      <c r="CL8" s="48">
        <v>3</v>
      </c>
      <c r="CM8" s="48">
        <v>2</v>
      </c>
      <c r="CN8" s="48">
        <v>1</v>
      </c>
      <c r="CO8" s="48">
        <v>0</v>
      </c>
      <c r="CP8" s="47">
        <v>2</v>
      </c>
      <c r="CQ8" s="47">
        <v>2</v>
      </c>
      <c r="CR8" s="47">
        <v>2</v>
      </c>
      <c r="CS8" s="47">
        <v>2</v>
      </c>
      <c r="CT8" s="47">
        <v>1</v>
      </c>
      <c r="CU8" s="37" t="s"/>
      <c r="CV8" s="37" t="s"/>
      <c r="CW8" s="37" t="s"/>
      <c r="CX8" s="37" t="s"/>
      <c r="CY8" s="37" t="s"/>
      <c r="CZ8" s="49" t="s"/>
      <c r="DA8" s="49" t="s"/>
      <c r="DB8" s="49" t="s"/>
      <c r="DC8" s="49" t="s"/>
      <c r="DD8" s="49" t="s"/>
      <c r="DE8" s="37" t="s"/>
      <c r="DF8" s="37" t="s"/>
      <c r="DG8" s="37" t="s"/>
      <c r="DH8" s="37" t="s"/>
      <c r="DI8" s="37" t="s"/>
      <c r="DJ8" s="49" t="s"/>
      <c r="DK8" s="49" t="s"/>
      <c r="DL8" s="49" t="s"/>
      <c r="DM8" s="49" t="s"/>
      <c r="DN8" s="49" t="s"/>
      <c r="DO8" s="37" t="s"/>
      <c r="DP8" s="37" t="s"/>
      <c r="DQ8" s="37" t="s"/>
      <c r="DR8" s="37" t="s"/>
      <c r="DS8" s="37" t="s"/>
      <c r="DT8" s="49" t="s"/>
      <c r="DU8" s="49" t="s"/>
      <c r="DV8" s="49" t="s"/>
      <c r="DW8" s="49" t="s"/>
      <c r="DX8" s="49" t="s"/>
      <c r="DY8" s="37" t="s"/>
      <c r="DZ8" s="37" t="s"/>
      <c r="EA8" s="37" t="s"/>
      <c r="EB8" s="37" t="s"/>
      <c r="EC8" s="37" t="s"/>
      <c r="ED8" s="49" t="s"/>
      <c r="EE8" s="49" t="s"/>
      <c r="EF8" s="49" t="s"/>
      <c r="EG8" s="49" t="s"/>
      <c r="EH8" s="49" t="s"/>
      <c r="EI8" s="37" t="s"/>
      <c r="EJ8" s="37" t="s"/>
      <c r="EK8" s="37" t="s"/>
      <c r="EL8" s="37" t="s"/>
      <c r="EM8" s="37" t="s"/>
      <c r="EN8" s="49" t="s"/>
      <c r="EO8" s="49" t="s"/>
      <c r="EP8" s="49" t="s"/>
      <c r="EQ8" s="49" t="s"/>
      <c r="ER8" s="49" t="s"/>
      <c r="ES8" s="37" t="s"/>
      <c r="ET8" s="37" t="s"/>
      <c r="EU8" s="37" t="s"/>
      <c r="EV8" s="37" t="s"/>
      <c r="EW8" s="37" t="s"/>
      <c r="EX8" s="49" t="s"/>
      <c r="EY8" s="49" t="s"/>
      <c r="EZ8" s="49" t="s"/>
      <c r="FA8" s="49" t="s"/>
      <c r="FB8" s="49" t="s"/>
      <c r="FC8" s="37" t="s"/>
      <c r="FD8" s="37" t="s"/>
      <c r="FE8" s="37" t="s"/>
      <c r="FF8" s="37" t="s"/>
      <c r="FG8" s="37" t="s"/>
      <c r="FH8" s="49" t="s"/>
      <c r="FI8" s="49" t="s"/>
      <c r="FJ8" s="49" t="s"/>
      <c r="FK8" s="49" t="s"/>
      <c r="FL8" s="49" t="s"/>
    </row>
    <row r="9" spans="1:168">
      <c r="A9" s="39" t="s">
        <v>13</v>
      </c>
      <c r="B9" s="40" t="s">
        <v>14</v>
      </c>
      <c r="C9" s="40" t="s">
        <v>15</v>
      </c>
      <c r="D9" s="40" t="s">
        <v>26</v>
      </c>
      <c r="E9" s="40" t="s">
        <v>24</v>
      </c>
      <c r="F9" s="52">
        <v>1</v>
      </c>
      <c r="G9" s="42">
        <f>=SUMIF($N$6:$FH$6,"新增微信",N9:FH9)</f>
        <v>114</v>
      </c>
      <c r="H9" s="42">
        <f>=SUMIF($O$6:$FI$6,"预约",O9:FI9)</f>
        <v>76</v>
      </c>
      <c r="I9" s="42">
        <f>=SUMIF($P$6:$FJ$6,"到场",P9:FJ9)</f>
        <v>43</v>
      </c>
      <c r="J9" s="42">
        <f>=SUMIF($Q$6:$FK$6,"合格",Q9:FK9)</f>
        <v>14</v>
      </c>
      <c r="K9" s="42">
        <f>=SUMIF($R$6:$FL$6,"在职",R9:FL9)</f>
        <v>10</v>
      </c>
      <c r="L9" s="43">
        <f>=10*F9</f>
        <v>10</v>
      </c>
      <c r="M9" s="44">
        <f>=K9/L9</f>
        <v>1</v>
      </c>
      <c r="N9" s="45">
        <v>11</v>
      </c>
      <c r="O9" s="45">
        <v>3</v>
      </c>
      <c r="P9" s="53">
        <v>0</v>
      </c>
      <c r="Q9" s="53">
        <v>0</v>
      </c>
      <c r="R9" s="53">
        <v>0</v>
      </c>
      <c r="S9" s="46">
        <v>2</v>
      </c>
      <c r="T9" s="46">
        <v>5</v>
      </c>
      <c r="U9" s="46">
        <v>3</v>
      </c>
      <c r="V9" s="54">
        <v>0</v>
      </c>
      <c r="W9" s="54">
        <v>0</v>
      </c>
      <c r="X9" s="47">
        <v>4</v>
      </c>
      <c r="Y9" s="47">
        <v>7</v>
      </c>
      <c r="Z9" s="47">
        <v>5</v>
      </c>
      <c r="AA9" s="47">
        <v>2</v>
      </c>
      <c r="AB9" s="47">
        <v>0</v>
      </c>
      <c r="AC9" s="48">
        <v>5</v>
      </c>
      <c r="AD9" s="48">
        <v>4</v>
      </c>
      <c r="AE9" s="48">
        <v>4</v>
      </c>
      <c r="AF9" s="48">
        <v>2</v>
      </c>
      <c r="AG9" s="48">
        <v>0</v>
      </c>
      <c r="AH9" s="47">
        <v>0</v>
      </c>
      <c r="AI9" s="47">
        <v>0</v>
      </c>
      <c r="AJ9" s="47">
        <v>0</v>
      </c>
      <c r="AK9" s="47">
        <v>0</v>
      </c>
      <c r="AL9" s="47">
        <v>2</v>
      </c>
      <c r="AM9" s="48">
        <v>15</v>
      </c>
      <c r="AN9" s="48">
        <v>3</v>
      </c>
      <c r="AO9" s="48">
        <v>2</v>
      </c>
      <c r="AP9" s="48">
        <v>0</v>
      </c>
      <c r="AQ9" s="48">
        <v>0</v>
      </c>
      <c r="AR9" s="47">
        <v>10</v>
      </c>
      <c r="AS9" s="47">
        <v>10</v>
      </c>
      <c r="AT9" s="47">
        <v>6</v>
      </c>
      <c r="AU9" s="47">
        <v>1</v>
      </c>
      <c r="AV9" s="47">
        <v>0</v>
      </c>
      <c r="AW9" s="48">
        <v>5</v>
      </c>
      <c r="AX9" s="48">
        <v>6</v>
      </c>
      <c r="AY9" s="48">
        <v>2</v>
      </c>
      <c r="AZ9" s="48">
        <v>1</v>
      </c>
      <c r="BA9" s="48">
        <v>1</v>
      </c>
      <c r="BB9" s="47">
        <v>8</v>
      </c>
      <c r="BC9" s="47">
        <v>8</v>
      </c>
      <c r="BD9" s="47">
        <v>6</v>
      </c>
      <c r="BE9" s="47">
        <v>0</v>
      </c>
      <c r="BF9" s="47">
        <v>1</v>
      </c>
      <c r="BG9" s="48">
        <v>6</v>
      </c>
      <c r="BH9" s="48">
        <v>8</v>
      </c>
      <c r="BI9" s="48">
        <v>6</v>
      </c>
      <c r="BJ9" s="48">
        <v>5</v>
      </c>
      <c r="BK9" s="48">
        <v>0</v>
      </c>
      <c r="BL9" s="47">
        <v>7</v>
      </c>
      <c r="BM9" s="47">
        <v>1</v>
      </c>
      <c r="BN9" s="47">
        <v>1</v>
      </c>
      <c r="BO9" s="47">
        <v>1</v>
      </c>
      <c r="BP9" s="47">
        <v>3</v>
      </c>
      <c r="BQ9" s="48">
        <v>5</v>
      </c>
      <c r="BR9" s="48">
        <v>3</v>
      </c>
      <c r="BS9" s="48">
        <v>1</v>
      </c>
      <c r="BT9" s="48">
        <v>0</v>
      </c>
      <c r="BU9" s="48">
        <v>2</v>
      </c>
      <c r="BV9" s="47">
        <v>6</v>
      </c>
      <c r="BW9" s="47">
        <v>2</v>
      </c>
      <c r="BX9" s="47">
        <v>0</v>
      </c>
      <c r="BY9" s="47">
        <v>0</v>
      </c>
      <c r="BZ9" s="47">
        <v>0</v>
      </c>
      <c r="CA9" s="48">
        <v>6</v>
      </c>
      <c r="CB9" s="48">
        <v>3</v>
      </c>
      <c r="CC9" s="48">
        <v>3</v>
      </c>
      <c r="CD9" s="48">
        <v>0</v>
      </c>
      <c r="CE9" s="48">
        <v>0</v>
      </c>
      <c r="CF9" s="47">
        <v>7</v>
      </c>
      <c r="CG9" s="47">
        <v>2</v>
      </c>
      <c r="CH9" s="47">
        <v>1</v>
      </c>
      <c r="CI9" s="47">
        <v>1</v>
      </c>
      <c r="CJ9" s="47">
        <v>0</v>
      </c>
      <c r="CK9" s="48">
        <v>12</v>
      </c>
      <c r="CL9" s="48">
        <v>5</v>
      </c>
      <c r="CM9" s="48">
        <v>1</v>
      </c>
      <c r="CN9" s="48">
        <v>0</v>
      </c>
      <c r="CO9" s="48">
        <v>1</v>
      </c>
      <c r="CP9" s="47">
        <v>5</v>
      </c>
      <c r="CQ9" s="47">
        <v>6</v>
      </c>
      <c r="CR9" s="47">
        <v>2</v>
      </c>
      <c r="CS9" s="47">
        <v>1</v>
      </c>
      <c r="CT9" s="47">
        <v>0</v>
      </c>
      <c r="CU9" s="37" t="s"/>
      <c r="CV9" s="37" t="s"/>
      <c r="CW9" s="37" t="s"/>
      <c r="CX9" s="37" t="s"/>
      <c r="CY9" s="37" t="s"/>
      <c r="CZ9" s="49" t="s"/>
      <c r="DA9" s="49" t="s"/>
      <c r="DB9" s="49" t="s"/>
      <c r="DC9" s="49" t="s"/>
      <c r="DD9" s="49" t="s"/>
      <c r="DE9" s="37" t="s"/>
      <c r="DF9" s="37" t="s"/>
      <c r="DG9" s="37" t="s"/>
      <c r="DH9" s="37" t="s"/>
      <c r="DI9" s="37" t="s"/>
      <c r="DJ9" s="49" t="s"/>
      <c r="DK9" s="49" t="s"/>
      <c r="DL9" s="49" t="s"/>
      <c r="DM9" s="49" t="s"/>
      <c r="DN9" s="49" t="s"/>
      <c r="DO9" s="37" t="s"/>
      <c r="DP9" s="37" t="s"/>
      <c r="DQ9" s="37" t="s"/>
      <c r="DR9" s="37" t="s"/>
      <c r="DS9" s="37" t="s"/>
      <c r="DT9" s="49" t="s"/>
      <c r="DU9" s="49" t="s"/>
      <c r="DV9" s="49" t="s"/>
      <c r="DW9" s="49" t="s"/>
      <c r="DX9" s="49" t="s"/>
      <c r="DY9" s="37" t="s"/>
      <c r="DZ9" s="37" t="s"/>
      <c r="EA9" s="37" t="s"/>
      <c r="EB9" s="37" t="s"/>
      <c r="EC9" s="37" t="s"/>
      <c r="ED9" s="49" t="s"/>
      <c r="EE9" s="49" t="s"/>
      <c r="EF9" s="49" t="s"/>
      <c r="EG9" s="49" t="s"/>
      <c r="EH9" s="49" t="s"/>
      <c r="EI9" s="37" t="s"/>
      <c r="EJ9" s="37" t="s"/>
      <c r="EK9" s="37" t="s"/>
      <c r="EL9" s="37" t="s"/>
      <c r="EM9" s="37" t="s"/>
      <c r="EN9" s="49" t="s"/>
      <c r="EO9" s="49" t="s"/>
      <c r="EP9" s="49" t="s"/>
      <c r="EQ9" s="49" t="s"/>
      <c r="ER9" s="49" t="s"/>
      <c r="ES9" s="37" t="s"/>
      <c r="ET9" s="37" t="s"/>
      <c r="EU9" s="37" t="s"/>
      <c r="EV9" s="37" t="s"/>
      <c r="EW9" s="37" t="s"/>
      <c r="EX9" s="49" t="s"/>
      <c r="EY9" s="49" t="s"/>
      <c r="EZ9" s="49" t="s"/>
      <c r="FA9" s="49" t="s"/>
      <c r="FB9" s="49" t="s"/>
      <c r="FC9" s="37" t="s"/>
      <c r="FD9" s="37" t="s"/>
      <c r="FE9" s="37" t="s"/>
      <c r="FF9" s="37" t="s"/>
      <c r="FG9" s="37" t="s"/>
      <c r="FH9" s="49" t="s"/>
      <c r="FI9" s="49" t="s"/>
      <c r="FJ9" s="49" t="s"/>
      <c r="FK9" s="49" t="s"/>
      <c r="FL9" s="51" t="s"/>
    </row>
    <row r="10" spans="1:168">
      <c r="A10" s="39" t="s">
        <v>13</v>
      </c>
      <c r="B10" s="40" t="s">
        <v>14</v>
      </c>
      <c r="C10" s="40" t="s">
        <v>15</v>
      </c>
      <c r="D10" s="40" t="s">
        <v>27</v>
      </c>
      <c r="E10" s="40" t="s">
        <v>24</v>
      </c>
      <c r="F10" s="41">
        <v>1</v>
      </c>
      <c r="G10" s="42">
        <f>=SUMIF($N$6:$FH$6,"新增微信",N10:FH10)</f>
        <v>88</v>
      </c>
      <c r="H10" s="42">
        <f>=SUMIF($O$6:$FI$6,"预约",O10:FI10)</f>
        <v>65</v>
      </c>
      <c r="I10" s="42">
        <f>=SUMIF($P$6:$FJ$6,"到场",P10:FJ10)</f>
        <v>41</v>
      </c>
      <c r="J10" s="42">
        <f>=SUMIF($Q$6:$FK$6,"合格",Q10:FK10)</f>
        <v>14</v>
      </c>
      <c r="K10" s="42">
        <f>=SUMIF($R$6:$FL$6,"在职",R10:FL10)</f>
        <v>6</v>
      </c>
      <c r="L10" s="43">
        <f>=10*F10</f>
        <v>10</v>
      </c>
      <c r="M10" s="44">
        <f>=K10/L10</f>
        <v>0.6</v>
      </c>
      <c r="N10" s="45">
        <v>3</v>
      </c>
      <c r="O10" s="45">
        <v>2</v>
      </c>
      <c r="P10" s="53">
        <v>0</v>
      </c>
      <c r="Q10" s="53">
        <v>0</v>
      </c>
      <c r="R10" s="45">
        <v>0</v>
      </c>
      <c r="S10" s="46">
        <v>9</v>
      </c>
      <c r="T10" s="46">
        <v>8</v>
      </c>
      <c r="U10" s="46">
        <v>7</v>
      </c>
      <c r="V10" s="46">
        <v>3</v>
      </c>
      <c r="W10" s="54">
        <v>0</v>
      </c>
      <c r="X10" s="47">
        <v>7</v>
      </c>
      <c r="Y10" s="47">
        <v>11</v>
      </c>
      <c r="Z10" s="47">
        <v>5</v>
      </c>
      <c r="AA10" s="47">
        <v>1</v>
      </c>
      <c r="AB10" s="47">
        <v>3</v>
      </c>
      <c r="AC10" s="48">
        <v>5</v>
      </c>
      <c r="AD10" s="48">
        <v>5</v>
      </c>
      <c r="AE10" s="48">
        <v>5</v>
      </c>
      <c r="AF10" s="48">
        <v>0</v>
      </c>
      <c r="AG10" s="48">
        <v>0</v>
      </c>
      <c r="AH10" s="47">
        <v>3</v>
      </c>
      <c r="AI10" s="47">
        <v>2</v>
      </c>
      <c r="AJ10" s="47">
        <v>1</v>
      </c>
      <c r="AK10" s="47">
        <v>0</v>
      </c>
      <c r="AL10" s="47">
        <v>0</v>
      </c>
      <c r="AM10" s="48">
        <v>12</v>
      </c>
      <c r="AN10" s="48">
        <v>2</v>
      </c>
      <c r="AO10" s="48">
        <v>0</v>
      </c>
      <c r="AP10" s="48">
        <v>0</v>
      </c>
      <c r="AQ10" s="48">
        <v>0</v>
      </c>
      <c r="AR10" s="47">
        <v>9</v>
      </c>
      <c r="AS10" s="47">
        <v>4</v>
      </c>
      <c r="AT10" s="47">
        <v>4</v>
      </c>
      <c r="AU10" s="47">
        <v>1</v>
      </c>
      <c r="AV10" s="47">
        <v>0</v>
      </c>
      <c r="AW10" s="48">
        <v>3</v>
      </c>
      <c r="AX10" s="48">
        <v>6</v>
      </c>
      <c r="AY10" s="48">
        <v>5</v>
      </c>
      <c r="AZ10" s="48">
        <v>3</v>
      </c>
      <c r="BA10" s="48">
        <v>1</v>
      </c>
      <c r="BB10" s="47">
        <v>5</v>
      </c>
      <c r="BC10" s="47">
        <v>4</v>
      </c>
      <c r="BD10" s="47">
        <v>2</v>
      </c>
      <c r="BE10" s="47">
        <v>1</v>
      </c>
      <c r="BF10" s="47">
        <v>2</v>
      </c>
      <c r="BG10" s="48">
        <v>0</v>
      </c>
      <c r="BH10" s="48">
        <v>4</v>
      </c>
      <c r="BI10" s="48">
        <v>1</v>
      </c>
      <c r="BJ10" s="48">
        <v>0</v>
      </c>
      <c r="BK10" s="48">
        <v>0</v>
      </c>
      <c r="BL10" s="47">
        <v>1</v>
      </c>
      <c r="BM10" s="47">
        <v>3</v>
      </c>
      <c r="BN10" s="47">
        <v>3</v>
      </c>
      <c r="BO10" s="47">
        <v>2</v>
      </c>
      <c r="BP10" s="47">
        <v>0</v>
      </c>
      <c r="BQ10" s="48">
        <v>4</v>
      </c>
      <c r="BR10" s="48">
        <v>1</v>
      </c>
      <c r="BS10" s="48">
        <v>1</v>
      </c>
      <c r="BT10" s="48">
        <v>0</v>
      </c>
      <c r="BU10" s="48">
        <v>0</v>
      </c>
      <c r="BV10" s="47">
        <v>4</v>
      </c>
      <c r="BW10" s="47">
        <v>1</v>
      </c>
      <c r="BX10" s="47">
        <v>1</v>
      </c>
      <c r="BY10" s="47">
        <v>1</v>
      </c>
      <c r="BZ10" s="47">
        <v>0</v>
      </c>
      <c r="CA10" s="48">
        <v>5</v>
      </c>
      <c r="CB10" s="48">
        <v>2</v>
      </c>
      <c r="CC10" s="48">
        <v>0</v>
      </c>
      <c r="CD10" s="48">
        <v>0</v>
      </c>
      <c r="CE10" s="48">
        <v>0</v>
      </c>
      <c r="CF10" s="47">
        <v>5</v>
      </c>
      <c r="CG10" s="47">
        <v>3</v>
      </c>
      <c r="CH10" s="47">
        <v>0</v>
      </c>
      <c r="CI10" s="47">
        <v>0</v>
      </c>
      <c r="CJ10" s="47">
        <v>0</v>
      </c>
      <c r="CK10" s="48">
        <v>8</v>
      </c>
      <c r="CL10" s="48">
        <v>3</v>
      </c>
      <c r="CM10" s="48">
        <v>3</v>
      </c>
      <c r="CN10" s="48">
        <v>1</v>
      </c>
      <c r="CO10" s="48">
        <v>0</v>
      </c>
      <c r="CP10" s="47">
        <v>5</v>
      </c>
      <c r="CQ10" s="47">
        <v>4</v>
      </c>
      <c r="CR10" s="47">
        <v>3</v>
      </c>
      <c r="CS10" s="47">
        <v>1</v>
      </c>
      <c r="CT10" s="47">
        <v>0</v>
      </c>
      <c r="CU10" s="37" t="s"/>
      <c r="CV10" s="37" t="s"/>
      <c r="CW10" s="37" t="s"/>
      <c r="CX10" s="37" t="s"/>
      <c r="CY10" s="37" t="s"/>
      <c r="CZ10" s="49" t="s"/>
      <c r="DA10" s="49" t="s"/>
      <c r="DB10" s="49" t="s"/>
      <c r="DC10" s="49" t="s"/>
      <c r="DD10" s="49" t="s"/>
      <c r="DE10" s="37" t="s"/>
      <c r="DF10" s="37" t="s"/>
      <c r="DG10" s="37" t="s"/>
      <c r="DH10" s="37" t="s"/>
      <c r="DI10" s="37" t="s"/>
      <c r="DJ10" s="49" t="s"/>
      <c r="DK10" s="49" t="s"/>
      <c r="DL10" s="49" t="s"/>
      <c r="DM10" s="49" t="s"/>
      <c r="DN10" s="49" t="s"/>
      <c r="DO10" s="37" t="s"/>
      <c r="DP10" s="37" t="s"/>
      <c r="DQ10" s="37" t="s"/>
      <c r="DR10" s="37" t="s"/>
      <c r="DS10" s="37" t="s"/>
      <c r="DT10" s="49" t="s"/>
      <c r="DU10" s="49" t="s"/>
      <c r="DV10" s="49" t="s"/>
      <c r="DW10" s="49" t="s"/>
      <c r="DX10" s="49" t="s"/>
      <c r="DY10" s="37" t="s"/>
      <c r="DZ10" s="37" t="s"/>
      <c r="EA10" s="37" t="s"/>
      <c r="EB10" s="37" t="s"/>
      <c r="EC10" s="37" t="s"/>
      <c r="ED10" s="49" t="s"/>
      <c r="EE10" s="49" t="s"/>
      <c r="EF10" s="49" t="s"/>
      <c r="EG10" s="49" t="s"/>
      <c r="EH10" s="49" t="s"/>
      <c r="EI10" s="37" t="s"/>
      <c r="EJ10" s="37" t="s"/>
      <c r="EK10" s="37" t="s"/>
      <c r="EL10" s="37" t="s"/>
      <c r="EM10" s="37" t="s"/>
      <c r="EN10" s="49" t="s"/>
      <c r="EO10" s="49" t="s"/>
      <c r="EP10" s="49" t="s"/>
      <c r="EQ10" s="49" t="s"/>
      <c r="ER10" s="49" t="s"/>
      <c r="ES10" s="37" t="s"/>
      <c r="ET10" s="37" t="s"/>
      <c r="EU10" s="37" t="s"/>
      <c r="EV10" s="37" t="s"/>
      <c r="EW10" s="37" t="s"/>
      <c r="EX10" s="49" t="s"/>
      <c r="EY10" s="49" t="s"/>
      <c r="EZ10" s="49" t="s"/>
      <c r="FA10" s="49" t="s"/>
      <c r="FB10" s="49" t="s"/>
      <c r="FC10" s="37" t="s"/>
      <c r="FD10" s="37" t="s"/>
      <c r="FE10" s="37" t="s"/>
      <c r="FF10" s="37" t="s"/>
      <c r="FG10" s="37" t="s"/>
      <c r="FH10" s="49" t="s"/>
      <c r="FI10" s="49" t="s"/>
      <c r="FJ10" s="49" t="s"/>
      <c r="FK10" s="49" t="s"/>
      <c r="FL10" s="51" t="s"/>
    </row>
    <row r="11" spans="1:168">
      <c r="A11" s="39" t="s"/>
      <c r="B11" s="40" t="s"/>
      <c r="C11" s="40" t="s"/>
      <c r="D11" s="40" t="s"/>
      <c r="E11" s="40" t="s"/>
      <c r="F11" s="52" t="s"/>
      <c r="G11" s="42" t="s"/>
      <c r="H11" s="42" t="s"/>
      <c r="I11" s="42" t="s"/>
      <c r="J11" s="42" t="s"/>
      <c r="K11" s="42" t="s"/>
      <c r="L11" s="43" t="s"/>
      <c r="M11" s="44" t="s"/>
      <c r="N11" s="45" t="s"/>
      <c r="O11" s="45" t="s"/>
      <c r="P11" s="45" t="s"/>
      <c r="Q11" s="45" t="s"/>
      <c r="R11" s="53" t="s"/>
      <c r="S11" s="46" t="s"/>
      <c r="T11" s="46" t="s"/>
      <c r="U11" s="54" t="s"/>
      <c r="V11" s="54" t="s"/>
      <c r="W11" s="46" t="s"/>
      <c r="X11" s="47" t="s"/>
      <c r="Y11" s="47" t="s"/>
      <c r="Z11" s="47" t="s"/>
      <c r="AA11" s="47" t="s"/>
      <c r="AB11" s="47" t="s"/>
      <c r="AC11" s="48" t="s"/>
      <c r="AD11" s="48" t="s"/>
      <c r="AE11" s="48" t="s"/>
      <c r="AF11" s="48" t="s"/>
      <c r="AG11" s="48" t="s"/>
      <c r="AH11" s="47" t="s"/>
      <c r="AI11" s="47" t="s"/>
      <c r="AJ11" s="47" t="s"/>
      <c r="AK11" s="47" t="s"/>
      <c r="AL11" s="47" t="s"/>
      <c r="AM11" s="48" t="s"/>
      <c r="AN11" s="48" t="s"/>
      <c r="AO11" s="48" t="s"/>
      <c r="AP11" s="48" t="s"/>
      <c r="AQ11" s="48" t="s"/>
      <c r="AR11" s="55" t="s"/>
      <c r="AS11" s="55" t="s"/>
      <c r="AT11" s="55" t="s"/>
      <c r="AU11" s="55" t="s"/>
      <c r="AV11" s="55" t="s"/>
      <c r="AW11" s="37" t="s"/>
      <c r="AX11" s="37" t="s"/>
      <c r="AY11" s="37" t="s"/>
      <c r="AZ11" s="37" t="s"/>
      <c r="BA11" s="37" t="s"/>
      <c r="BB11" s="55" t="s"/>
      <c r="BC11" s="55" t="s"/>
      <c r="BD11" s="55" t="s"/>
      <c r="BE11" s="55" t="s"/>
      <c r="BF11" s="55" t="s"/>
      <c r="BG11" s="37" t="s"/>
      <c r="BH11" s="37" t="s"/>
      <c r="BI11" s="37" t="s"/>
      <c r="BJ11" s="37" t="s"/>
      <c r="BK11" s="37" t="s"/>
      <c r="BL11" s="55" t="s"/>
      <c r="BM11" s="55" t="s"/>
      <c r="BN11" s="55" t="s"/>
      <c r="BO11" s="55" t="s"/>
      <c r="BP11" s="55" t="s"/>
      <c r="BQ11" s="37" t="s"/>
      <c r="BR11" s="37" t="s"/>
      <c r="BS11" s="37" t="s"/>
      <c r="BT11" s="37" t="s"/>
      <c r="BU11" s="37" t="s"/>
      <c r="BV11" s="55" t="s"/>
      <c r="BW11" s="55" t="s"/>
      <c r="BX11" s="55" t="s"/>
      <c r="BY11" s="55" t="s"/>
      <c r="BZ11" s="55" t="s"/>
      <c r="CA11" s="37" t="s"/>
      <c r="CB11" s="37" t="s"/>
      <c r="CC11" s="37" t="s"/>
      <c r="CD11" s="37" t="s"/>
      <c r="CE11" s="37" t="s"/>
      <c r="CF11" s="55" t="s"/>
      <c r="CG11" s="55" t="s"/>
      <c r="CH11" s="55" t="s"/>
      <c r="CI11" s="55" t="s"/>
      <c r="CJ11" s="55" t="s"/>
      <c r="CK11" s="37" t="s"/>
      <c r="CL11" s="37" t="s"/>
      <c r="CM11" s="37" t="s"/>
      <c r="CN11" s="37" t="s"/>
      <c r="CO11" s="37" t="s"/>
      <c r="CP11" s="55" t="s"/>
      <c r="CQ11" s="55" t="s"/>
      <c r="CR11" s="55" t="s"/>
      <c r="CS11" s="55" t="s"/>
      <c r="CT11" s="55" t="s"/>
      <c r="CU11" s="37" t="s"/>
      <c r="CV11" s="37" t="s"/>
      <c r="CW11" s="37" t="s"/>
      <c r="CX11" s="37" t="s"/>
      <c r="CY11" s="37" t="s"/>
      <c r="CZ11" s="49" t="s"/>
      <c r="DA11" s="49" t="s"/>
      <c r="DB11" s="49" t="s"/>
      <c r="DC11" s="49" t="s"/>
      <c r="DD11" s="49" t="s"/>
      <c r="DE11" s="37" t="s"/>
      <c r="DF11" s="37" t="s"/>
      <c r="DG11" s="37" t="s"/>
      <c r="DH11" s="37" t="s"/>
      <c r="DI11" s="37" t="s"/>
      <c r="DJ11" s="49" t="s"/>
      <c r="DK11" s="49" t="s"/>
      <c r="DL11" s="49" t="s"/>
      <c r="DM11" s="49" t="s"/>
      <c r="DN11" s="49" t="s"/>
      <c r="DO11" s="37" t="s"/>
      <c r="DP11" s="37" t="s"/>
      <c r="DQ11" s="37" t="s"/>
      <c r="DR11" s="37" t="s"/>
      <c r="DS11" s="37" t="s"/>
      <c r="DT11" s="49" t="s"/>
      <c r="DU11" s="49" t="s"/>
      <c r="DV11" s="49" t="s"/>
      <c r="DW11" s="49" t="s"/>
      <c r="DX11" s="49" t="s"/>
      <c r="DY11" s="37" t="s"/>
      <c r="DZ11" s="37" t="s"/>
      <c r="EA11" s="37" t="s"/>
      <c r="EB11" s="37" t="s"/>
      <c r="EC11" s="37" t="s"/>
      <c r="ED11" s="49" t="s"/>
      <c r="EE11" s="49" t="s"/>
      <c r="EF11" s="49" t="s"/>
      <c r="EG11" s="49" t="s"/>
      <c r="EH11" s="49" t="s"/>
      <c r="EI11" s="37" t="s"/>
      <c r="EJ11" s="37" t="s"/>
      <c r="EK11" s="37" t="s"/>
      <c r="EL11" s="37" t="s"/>
      <c r="EM11" s="37" t="s"/>
      <c r="EN11" s="49" t="s"/>
      <c r="EO11" s="49" t="s"/>
      <c r="EP11" s="49" t="s"/>
      <c r="EQ11" s="49" t="s"/>
      <c r="ER11" s="49" t="s"/>
      <c r="ES11" s="37" t="s"/>
      <c r="ET11" s="37" t="s"/>
      <c r="EU11" s="37" t="s"/>
      <c r="EV11" s="37" t="s"/>
      <c r="EW11" s="37" t="s"/>
      <c r="EX11" s="49" t="s"/>
      <c r="EY11" s="49" t="s"/>
      <c r="EZ11" s="49" t="s"/>
      <c r="FA11" s="49" t="s"/>
      <c r="FB11" s="49" t="s"/>
      <c r="FC11" s="37" t="s"/>
      <c r="FD11" s="37" t="s"/>
      <c r="FE11" s="37" t="s"/>
      <c r="FF11" s="37" t="s"/>
      <c r="FG11" s="37" t="s"/>
      <c r="FH11" s="49" t="s"/>
      <c r="FI11" s="49" t="s"/>
      <c r="FJ11" s="49" t="s"/>
      <c r="FK11" s="49" t="s"/>
      <c r="FL11" s="49" t="s"/>
    </row>
    <row r="12" spans="1:168">
      <c r="A12" s="49" t="s"/>
      <c r="B12" s="49" t="s"/>
      <c r="C12" s="49" t="s"/>
      <c r="D12" s="49" t="s"/>
      <c r="E12" s="49" t="s"/>
      <c r="F12" s="41" t="s"/>
      <c r="G12" s="42" t="s"/>
      <c r="H12" s="42" t="s"/>
      <c r="I12" s="42" t="s"/>
      <c r="J12" s="42" t="s"/>
      <c r="K12" s="42" t="s"/>
      <c r="L12" s="43" t="s"/>
      <c r="M12" s="44" t="s"/>
      <c r="N12" s="55" t="s"/>
      <c r="O12" s="55" t="s"/>
      <c r="P12" s="55" t="s"/>
      <c r="Q12" s="55" t="s"/>
      <c r="R12" s="55" t="s"/>
      <c r="S12" s="37" t="s"/>
      <c r="T12" s="37" t="s"/>
      <c r="U12" s="37" t="s"/>
      <c r="V12" s="37" t="s"/>
      <c r="W12" s="37" t="s"/>
      <c r="X12" s="55" t="s"/>
      <c r="Y12" s="55" t="s"/>
      <c r="Z12" s="55" t="s"/>
      <c r="AA12" s="55" t="s"/>
      <c r="AB12" s="55" t="s"/>
      <c r="AC12" s="37" t="s"/>
      <c r="AD12" s="37" t="s"/>
      <c r="AE12" s="37" t="s"/>
      <c r="AF12" s="37" t="s"/>
      <c r="AG12" s="37" t="s"/>
      <c r="AH12" s="55" t="s"/>
      <c r="AI12" s="55" t="s"/>
      <c r="AJ12" s="55" t="s"/>
      <c r="AK12" s="55" t="s"/>
      <c r="AL12" s="55" t="s"/>
      <c r="AM12" s="37" t="s"/>
      <c r="AN12" s="37" t="s"/>
      <c r="AO12" s="37" t="s"/>
      <c r="AP12" s="37" t="s"/>
      <c r="AQ12" s="37" t="s"/>
      <c r="AR12" s="55" t="s"/>
      <c r="AS12" s="55" t="s"/>
      <c r="AT12" s="55" t="s"/>
      <c r="AU12" s="55" t="s"/>
      <c r="AV12" s="55" t="s"/>
      <c r="AW12" s="37" t="s"/>
      <c r="AX12" s="37" t="s"/>
      <c r="AY12" s="37" t="s"/>
      <c r="AZ12" s="37" t="s"/>
      <c r="BA12" s="37" t="s"/>
      <c r="BB12" s="55" t="s"/>
      <c r="BC12" s="55" t="s"/>
      <c r="BD12" s="55" t="s"/>
      <c r="BE12" s="55" t="s"/>
      <c r="BF12" s="55" t="s"/>
      <c r="BG12" s="37" t="s"/>
      <c r="BH12" s="37" t="s"/>
      <c r="BI12" s="37" t="s"/>
      <c r="BJ12" s="37" t="s"/>
      <c r="BK12" s="37" t="s"/>
      <c r="BL12" s="55" t="s"/>
      <c r="BM12" s="55" t="s"/>
      <c r="BN12" s="55" t="s"/>
      <c r="BO12" s="55" t="s"/>
      <c r="BP12" s="55" t="s"/>
      <c r="BQ12" s="37" t="s"/>
      <c r="BR12" s="37" t="s"/>
      <c r="BS12" s="37" t="s"/>
      <c r="BT12" s="37" t="s"/>
      <c r="BU12" s="37" t="s"/>
      <c r="BV12" s="55" t="s"/>
      <c r="BW12" s="55" t="s"/>
      <c r="BX12" s="55" t="s"/>
      <c r="BY12" s="55" t="s"/>
      <c r="BZ12" s="55" t="s"/>
      <c r="CA12" s="37" t="s"/>
      <c r="CB12" s="37" t="s"/>
      <c r="CC12" s="37" t="s"/>
      <c r="CD12" s="37" t="s"/>
      <c r="CE12" s="37" t="s"/>
      <c r="CF12" s="55" t="s"/>
      <c r="CG12" s="55" t="s"/>
      <c r="CH12" s="55" t="s"/>
      <c r="CI12" s="55" t="s"/>
      <c r="CJ12" s="55" t="s"/>
      <c r="CK12" s="37" t="s"/>
      <c r="CL12" s="37" t="s"/>
      <c r="CM12" s="37" t="s"/>
      <c r="CN12" s="37" t="s"/>
      <c r="CO12" s="37" t="s"/>
      <c r="CP12" s="55" t="s"/>
      <c r="CQ12" s="55" t="s"/>
      <c r="CR12" s="55" t="s"/>
      <c r="CS12" s="55" t="s"/>
      <c r="CT12" s="55" t="s"/>
      <c r="CU12" s="37" t="s"/>
      <c r="CV12" s="37" t="s"/>
      <c r="CW12" s="37" t="s"/>
      <c r="CX12" s="37" t="s"/>
      <c r="CY12" s="37" t="s"/>
      <c r="CZ12" s="49" t="s"/>
      <c r="DA12" s="49" t="s"/>
      <c r="DB12" s="49" t="s"/>
      <c r="DC12" s="49" t="s"/>
      <c r="DD12" s="49" t="s"/>
      <c r="DE12" s="37" t="s"/>
      <c r="DF12" s="37" t="s"/>
      <c r="DG12" s="37" t="s"/>
      <c r="DH12" s="37" t="s"/>
      <c r="DI12" s="37" t="s"/>
      <c r="DJ12" s="49" t="s"/>
      <c r="DK12" s="49" t="s"/>
      <c r="DL12" s="49" t="s"/>
      <c r="DM12" s="49" t="s"/>
      <c r="DN12" s="49" t="s"/>
      <c r="DO12" s="37" t="s"/>
      <c r="DP12" s="37" t="s"/>
      <c r="DQ12" s="37" t="s"/>
      <c r="DR12" s="37" t="s"/>
      <c r="DS12" s="37" t="s"/>
      <c r="DT12" s="49" t="s"/>
      <c r="DU12" s="49" t="s"/>
      <c r="DV12" s="49" t="s"/>
      <c r="DW12" s="49" t="s"/>
      <c r="DX12" s="49" t="s"/>
      <c r="DY12" s="37" t="s"/>
      <c r="DZ12" s="37" t="s"/>
      <c r="EA12" s="37" t="s"/>
      <c r="EB12" s="37" t="s"/>
      <c r="EC12" s="37" t="s"/>
      <c r="ED12" s="49" t="s"/>
      <c r="EE12" s="49" t="s"/>
      <c r="EF12" s="49" t="s"/>
      <c r="EG12" s="49" t="s"/>
      <c r="EH12" s="49" t="s"/>
      <c r="EI12" s="37" t="s"/>
      <c r="EJ12" s="37" t="s"/>
      <c r="EK12" s="37" t="s"/>
      <c r="EL12" s="37" t="s"/>
      <c r="EM12" s="37" t="s"/>
      <c r="EN12" s="49" t="s"/>
      <c r="EO12" s="49" t="s"/>
      <c r="EP12" s="49" t="s"/>
      <c r="EQ12" s="49" t="s"/>
      <c r="ER12" s="49" t="s"/>
      <c r="ES12" s="37" t="s"/>
      <c r="ET12" s="37" t="s"/>
      <c r="EU12" s="37" t="s"/>
      <c r="EV12" s="37" t="s"/>
      <c r="EW12" s="37" t="s"/>
      <c r="EX12" s="49" t="s"/>
      <c r="EY12" s="49" t="s"/>
      <c r="EZ12" s="49" t="s"/>
      <c r="FA12" s="49" t="s"/>
      <c r="FB12" s="49" t="s"/>
      <c r="FC12" s="37" t="s"/>
      <c r="FD12" s="37" t="s"/>
      <c r="FE12" s="37" t="s"/>
      <c r="FF12" s="37" t="s"/>
      <c r="FG12" s="37" t="s"/>
      <c r="FH12" s="49" t="s"/>
      <c r="FI12" s="49" t="s"/>
      <c r="FJ12" s="49" t="s"/>
      <c r="FK12" s="49" t="s"/>
      <c r="FL12" s="49" t="s"/>
    </row>
    <row r="13" spans="1:168">
      <c r="A13" s="49" t="s"/>
      <c r="B13" s="49" t="s"/>
      <c r="C13" s="49" t="s"/>
      <c r="D13" s="49" t="s"/>
      <c r="E13" s="49" t="s"/>
      <c r="F13" s="41" t="s"/>
      <c r="G13" s="42" t="s"/>
      <c r="H13" s="42" t="s"/>
      <c r="I13" s="42" t="s"/>
      <c r="J13" s="42" t="s"/>
      <c r="K13" s="42" t="s"/>
      <c r="L13" s="43" t="s"/>
      <c r="M13" s="44" t="s"/>
      <c r="N13" s="55" t="s"/>
      <c r="O13" s="55" t="s"/>
      <c r="P13" s="55" t="s"/>
      <c r="Q13" s="55" t="s"/>
      <c r="R13" s="55" t="s"/>
      <c r="S13" s="37" t="s"/>
      <c r="T13" s="37" t="s"/>
      <c r="U13" s="37" t="s"/>
      <c r="V13" s="37" t="s"/>
      <c r="W13" s="37" t="s"/>
      <c r="X13" s="55" t="s"/>
      <c r="Y13" s="55" t="s"/>
      <c r="Z13" s="55" t="s"/>
      <c r="AA13" s="55" t="s"/>
      <c r="AB13" s="55" t="s"/>
      <c r="AC13" s="37" t="s"/>
      <c r="AD13" s="37" t="s"/>
      <c r="AE13" s="37" t="s"/>
      <c r="AF13" s="37" t="s"/>
      <c r="AG13" s="37" t="s"/>
      <c r="AH13" s="55" t="s"/>
      <c r="AI13" s="55" t="s"/>
      <c r="AJ13" s="55" t="s"/>
      <c r="AK13" s="55" t="s"/>
      <c r="AL13" s="55" t="s"/>
      <c r="AM13" s="37" t="s"/>
      <c r="AN13" s="37" t="s"/>
      <c r="AO13" s="37" t="s"/>
      <c r="AP13" s="37" t="s"/>
      <c r="AQ13" s="37" t="s"/>
      <c r="AR13" s="55" t="s"/>
      <c r="AS13" s="55" t="s"/>
      <c r="AT13" s="55" t="s"/>
      <c r="AU13" s="55" t="s"/>
      <c r="AV13" s="55" t="s"/>
      <c r="AW13" s="37" t="s"/>
      <c r="AX13" s="37" t="s"/>
      <c r="AY13" s="37" t="s"/>
      <c r="AZ13" s="37" t="s"/>
      <c r="BA13" s="37" t="s"/>
      <c r="BB13" s="55" t="s"/>
      <c r="BC13" s="55" t="s"/>
      <c r="BD13" s="55" t="s"/>
      <c r="BE13" s="55" t="s"/>
      <c r="BF13" s="55" t="s"/>
      <c r="BG13" s="37" t="s"/>
      <c r="BH13" s="37" t="s"/>
      <c r="BI13" s="37" t="s"/>
      <c r="BJ13" s="37" t="s"/>
      <c r="BK13" s="37" t="s"/>
      <c r="BL13" s="55" t="s"/>
      <c r="BM13" s="55" t="s"/>
      <c r="BN13" s="55" t="s"/>
      <c r="BO13" s="55" t="s"/>
      <c r="BP13" s="55" t="s"/>
      <c r="BQ13" s="37" t="s"/>
      <c r="BR13" s="37" t="s"/>
      <c r="BS13" s="37" t="s"/>
      <c r="BT13" s="37" t="s"/>
      <c r="BU13" s="37" t="s"/>
      <c r="BV13" s="55" t="s"/>
      <c r="BW13" s="55" t="s"/>
      <c r="BX13" s="55" t="s"/>
      <c r="BY13" s="55" t="s"/>
      <c r="BZ13" s="55" t="s"/>
      <c r="CA13" s="37" t="s"/>
      <c r="CB13" s="37" t="s"/>
      <c r="CC13" s="37" t="s"/>
      <c r="CD13" s="37" t="s"/>
      <c r="CE13" s="37" t="s"/>
      <c r="CF13" s="55" t="s"/>
      <c r="CG13" s="55" t="s"/>
      <c r="CH13" s="55" t="s"/>
      <c r="CI13" s="55" t="s"/>
      <c r="CJ13" s="55" t="s"/>
      <c r="CK13" s="37" t="s"/>
      <c r="CL13" s="37" t="s"/>
      <c r="CM13" s="37" t="s"/>
      <c r="CN13" s="37" t="s"/>
      <c r="CO13" s="37" t="s"/>
      <c r="CP13" s="55" t="s"/>
      <c r="CQ13" s="55" t="s"/>
      <c r="CR13" s="55" t="s"/>
      <c r="CS13" s="55" t="s"/>
      <c r="CT13" s="55" t="s"/>
      <c r="CU13" s="37" t="s"/>
      <c r="CV13" s="37" t="s"/>
      <c r="CW13" s="37" t="s"/>
      <c r="CX13" s="37" t="s"/>
      <c r="CY13" s="37" t="s"/>
      <c r="CZ13" s="49" t="s"/>
      <c r="DA13" s="49" t="s"/>
      <c r="DB13" s="49" t="s"/>
      <c r="DC13" s="49" t="s"/>
      <c r="DD13" s="49" t="s"/>
      <c r="DE13" s="37" t="s"/>
      <c r="DF13" s="37" t="s"/>
      <c r="DG13" s="37" t="s"/>
      <c r="DH13" s="37" t="s"/>
      <c r="DI13" s="37" t="s"/>
      <c r="DJ13" s="49" t="s"/>
      <c r="DK13" s="49" t="s"/>
      <c r="DL13" s="49" t="s"/>
      <c r="DM13" s="49" t="s"/>
      <c r="DN13" s="49" t="s"/>
      <c r="DO13" s="37" t="s"/>
      <c r="DP13" s="37" t="s"/>
      <c r="DQ13" s="37" t="s"/>
      <c r="DR13" s="37" t="s"/>
      <c r="DS13" s="37" t="s"/>
      <c r="DT13" s="49" t="s"/>
      <c r="DU13" s="49" t="s"/>
      <c r="DV13" s="49" t="s"/>
      <c r="DW13" s="49" t="s"/>
      <c r="DX13" s="49" t="s"/>
      <c r="DY13" s="37" t="s"/>
      <c r="DZ13" s="37" t="s"/>
      <c r="EA13" s="37" t="s"/>
      <c r="EB13" s="37" t="s"/>
      <c r="EC13" s="37" t="s"/>
      <c r="ED13" s="49" t="s"/>
      <c r="EE13" s="49" t="s"/>
      <c r="EF13" s="49" t="s"/>
      <c r="EG13" s="49" t="s"/>
      <c r="EH13" s="49" t="s"/>
      <c r="EI13" s="37" t="s"/>
      <c r="EJ13" s="37" t="s"/>
      <c r="EK13" s="37" t="s"/>
      <c r="EL13" s="37" t="s"/>
      <c r="EM13" s="37" t="s"/>
      <c r="EN13" s="49" t="s"/>
      <c r="EO13" s="49" t="s"/>
      <c r="EP13" s="49" t="s"/>
      <c r="EQ13" s="49" t="s"/>
      <c r="ER13" s="49" t="s"/>
      <c r="ES13" s="37" t="s"/>
      <c r="ET13" s="37" t="s"/>
      <c r="EU13" s="37" t="s"/>
      <c r="EV13" s="37" t="s"/>
      <c r="EW13" s="37" t="s"/>
      <c r="EX13" s="49" t="s"/>
      <c r="EY13" s="49" t="s"/>
      <c r="EZ13" s="49" t="s"/>
      <c r="FA13" s="49" t="s"/>
      <c r="FB13" s="49" t="s"/>
      <c r="FC13" s="37" t="s"/>
      <c r="FD13" s="37" t="s"/>
      <c r="FE13" s="37" t="s"/>
      <c r="FF13" s="37" t="s"/>
      <c r="FG13" s="37" t="s"/>
      <c r="FH13" s="49" t="s"/>
      <c r="FI13" s="49" t="s"/>
      <c r="FJ13" s="49" t="s"/>
      <c r="FK13" s="49" t="s"/>
      <c r="FL13" s="49" t="s"/>
    </row>
    <row r="14" spans="1:168">
      <c r="A14" s="49" t="s"/>
      <c r="B14" s="49" t="s"/>
      <c r="C14" s="49" t="s"/>
      <c r="D14" s="49" t="s"/>
      <c r="E14" s="49" t="s"/>
      <c r="F14" s="41" t="s"/>
      <c r="G14" s="42" t="s"/>
      <c r="H14" s="42" t="s"/>
      <c r="I14" s="42" t="s"/>
      <c r="J14" s="42" t="s"/>
      <c r="K14" s="42" t="s"/>
      <c r="L14" s="43" t="s"/>
      <c r="M14" s="44" t="s"/>
      <c r="N14" s="55" t="s"/>
      <c r="O14" s="55" t="s"/>
      <c r="P14" s="55" t="s"/>
      <c r="Q14" s="55" t="s"/>
      <c r="R14" s="55" t="s"/>
      <c r="S14" s="37" t="s"/>
      <c r="T14" s="37" t="s"/>
      <c r="U14" s="37" t="s"/>
      <c r="V14" s="37" t="s"/>
      <c r="W14" s="37" t="s"/>
      <c r="X14" s="55" t="s"/>
      <c r="Y14" s="55" t="s"/>
      <c r="Z14" s="55" t="s"/>
      <c r="AA14" s="55" t="s"/>
      <c r="AB14" s="55" t="s"/>
      <c r="AC14" s="37" t="s"/>
      <c r="AD14" s="37" t="s"/>
      <c r="AE14" s="37" t="s"/>
      <c r="AF14" s="37" t="s"/>
      <c r="AG14" s="37" t="s"/>
      <c r="AH14" s="55" t="s"/>
      <c r="AI14" s="55" t="s"/>
      <c r="AJ14" s="55" t="s"/>
      <c r="AK14" s="55" t="s"/>
      <c r="AL14" s="55" t="s"/>
      <c r="AM14" s="37" t="s"/>
      <c r="AN14" s="37" t="s"/>
      <c r="AO14" s="37" t="s"/>
      <c r="AP14" s="37" t="s"/>
      <c r="AQ14" s="37" t="s"/>
      <c r="AR14" s="55" t="s"/>
      <c r="AS14" s="55" t="s"/>
      <c r="AT14" s="55" t="s"/>
      <c r="AU14" s="55" t="s"/>
      <c r="AV14" s="55" t="s"/>
      <c r="AW14" s="37" t="s"/>
      <c r="AX14" s="37" t="s"/>
      <c r="AY14" s="37" t="s"/>
      <c r="AZ14" s="37" t="s"/>
      <c r="BA14" s="37" t="s"/>
      <c r="BB14" s="55" t="s"/>
      <c r="BC14" s="55" t="s"/>
      <c r="BD14" s="55" t="s"/>
      <c r="BE14" s="55" t="s"/>
      <c r="BF14" s="55" t="s"/>
      <c r="BG14" s="37" t="s"/>
      <c r="BH14" s="37" t="s"/>
      <c r="BI14" s="37" t="s"/>
      <c r="BJ14" s="37" t="s"/>
      <c r="BK14" s="37" t="s"/>
      <c r="BL14" s="55" t="s"/>
      <c r="BM14" s="55" t="s"/>
      <c r="BN14" s="55" t="s"/>
      <c r="BO14" s="55" t="s"/>
      <c r="BP14" s="55" t="s"/>
      <c r="BQ14" s="37" t="s"/>
      <c r="BR14" s="37" t="s"/>
      <c r="BS14" s="37" t="s"/>
      <c r="BT14" s="37" t="s"/>
      <c r="BU14" s="37" t="s"/>
      <c r="BV14" s="55" t="s"/>
      <c r="BW14" s="55" t="s"/>
      <c r="BX14" s="55" t="s"/>
      <c r="BY14" s="55" t="s"/>
      <c r="BZ14" s="55" t="s"/>
      <c r="CA14" s="37" t="s"/>
      <c r="CB14" s="37" t="s"/>
      <c r="CC14" s="37" t="s"/>
      <c r="CD14" s="37" t="s"/>
      <c r="CE14" s="37" t="s"/>
      <c r="CF14" s="55" t="s"/>
      <c r="CG14" s="55" t="s"/>
      <c r="CH14" s="55" t="s"/>
      <c r="CI14" s="55" t="s"/>
      <c r="CJ14" s="55" t="s"/>
      <c r="CK14" s="37" t="s"/>
      <c r="CL14" s="37" t="s"/>
      <c r="CM14" s="37" t="s"/>
      <c r="CN14" s="37" t="s"/>
      <c r="CO14" s="37" t="s"/>
      <c r="CP14" s="55" t="s"/>
      <c r="CQ14" s="55" t="s"/>
      <c r="CR14" s="55" t="s"/>
      <c r="CS14" s="55" t="s"/>
      <c r="CT14" s="55" t="s"/>
      <c r="CU14" s="37" t="s"/>
      <c r="CV14" s="37" t="s"/>
      <c r="CW14" s="37" t="s"/>
      <c r="CX14" s="37" t="s"/>
      <c r="CY14" s="37" t="s"/>
      <c r="CZ14" s="49" t="s"/>
      <c r="DA14" s="49" t="s"/>
      <c r="DB14" s="49" t="s"/>
      <c r="DC14" s="49" t="s"/>
      <c r="DD14" s="49" t="s"/>
      <c r="DE14" s="37" t="s"/>
      <c r="DF14" s="37" t="s"/>
      <c r="DG14" s="37" t="s"/>
      <c r="DH14" s="37" t="s"/>
      <c r="DI14" s="37" t="s"/>
      <c r="DJ14" s="49" t="s"/>
      <c r="DK14" s="49" t="s"/>
      <c r="DL14" s="49" t="s"/>
      <c r="DM14" s="49" t="s"/>
      <c r="DN14" s="49" t="s"/>
      <c r="DO14" s="37" t="s"/>
      <c r="DP14" s="37" t="s"/>
      <c r="DQ14" s="37" t="s"/>
      <c r="DR14" s="37" t="s"/>
      <c r="DS14" s="37" t="s"/>
      <c r="DT14" s="49" t="s"/>
      <c r="DU14" s="49" t="s"/>
      <c r="DV14" s="49" t="s"/>
      <c r="DW14" s="49" t="s"/>
      <c r="DX14" s="49" t="s"/>
      <c r="DY14" s="37" t="s"/>
      <c r="DZ14" s="37" t="s"/>
      <c r="EA14" s="37" t="s"/>
      <c r="EB14" s="37" t="s"/>
      <c r="EC14" s="37" t="s"/>
      <c r="ED14" s="49" t="s"/>
      <c r="EE14" s="49" t="s"/>
      <c r="EF14" s="49" t="s"/>
      <c r="EG14" s="49" t="s"/>
      <c r="EH14" s="49" t="s"/>
      <c r="EI14" s="37" t="s"/>
      <c r="EJ14" s="37" t="s"/>
      <c r="EK14" s="37" t="s"/>
      <c r="EL14" s="37" t="s"/>
      <c r="EM14" s="37" t="s"/>
      <c r="EN14" s="49" t="s"/>
      <c r="EO14" s="49" t="s"/>
      <c r="EP14" s="49" t="s"/>
      <c r="EQ14" s="49" t="s"/>
      <c r="ER14" s="49" t="s"/>
      <c r="ES14" s="37" t="s"/>
      <c r="ET14" s="37" t="s"/>
      <c r="EU14" s="37" t="s"/>
      <c r="EV14" s="37" t="s"/>
      <c r="EW14" s="37" t="s"/>
      <c r="EX14" s="49" t="s"/>
      <c r="EY14" s="49" t="s"/>
      <c r="EZ14" s="49" t="s"/>
      <c r="FA14" s="49" t="s"/>
      <c r="FB14" s="49" t="s"/>
      <c r="FC14" s="37" t="s"/>
      <c r="FD14" s="37" t="s"/>
      <c r="FE14" s="37" t="s"/>
      <c r="FF14" s="37" t="s"/>
      <c r="FG14" s="37" t="s"/>
      <c r="FH14" s="49" t="s"/>
      <c r="FI14" s="49" t="s"/>
      <c r="FJ14" s="49" t="s"/>
      <c r="FK14" s="49" t="s"/>
      <c r="FL14" s="49" t="s"/>
    </row>
    <row r="15" spans="1:168">
      <c r="A15" s="49" t="s"/>
      <c r="B15" s="49" t="s"/>
      <c r="C15" s="49" t="s"/>
      <c r="D15" s="49" t="s"/>
      <c r="E15" s="49" t="s"/>
      <c r="F15" s="41" t="s"/>
      <c r="G15" s="42" t="s"/>
      <c r="H15" s="42" t="s"/>
      <c r="I15" s="42" t="s"/>
      <c r="J15" s="42" t="s"/>
      <c r="K15" s="42" t="s"/>
      <c r="L15" s="43" t="s"/>
      <c r="M15" s="44" t="s"/>
      <c r="N15" s="55" t="s"/>
      <c r="O15" s="55" t="s"/>
      <c r="P15" s="55" t="s"/>
      <c r="Q15" s="55" t="s"/>
      <c r="R15" s="55" t="s"/>
      <c r="S15" s="37" t="s"/>
      <c r="T15" s="37" t="s"/>
      <c r="U15" s="37" t="s"/>
      <c r="V15" s="37" t="s"/>
      <c r="W15" s="37" t="s"/>
      <c r="X15" s="55" t="s"/>
      <c r="Y15" s="55" t="s"/>
      <c r="Z15" s="55" t="s"/>
      <c r="AA15" s="55" t="s"/>
      <c r="AB15" s="55" t="s"/>
      <c r="AC15" s="37" t="s"/>
      <c r="AD15" s="37" t="s"/>
      <c r="AE15" s="37" t="s"/>
      <c r="AF15" s="37" t="s"/>
      <c r="AG15" s="37" t="s"/>
      <c r="AH15" s="55" t="s"/>
      <c r="AI15" s="55" t="s"/>
      <c r="AJ15" s="55" t="s"/>
      <c r="AK15" s="55" t="s"/>
      <c r="AL15" s="55" t="s"/>
      <c r="AM15" s="37" t="s"/>
      <c r="AN15" s="37" t="s"/>
      <c r="AO15" s="37" t="s"/>
      <c r="AP15" s="37" t="s"/>
      <c r="AQ15" s="37" t="s"/>
      <c r="AR15" s="55" t="s"/>
      <c r="AS15" s="55" t="s"/>
      <c r="AT15" s="55" t="s"/>
      <c r="AU15" s="55" t="s"/>
      <c r="AV15" s="55" t="s"/>
      <c r="AW15" s="37" t="s"/>
      <c r="AX15" s="37" t="s"/>
      <c r="AY15" s="37" t="s"/>
      <c r="AZ15" s="37" t="s"/>
      <c r="BA15" s="37" t="s"/>
      <c r="BB15" s="55" t="s"/>
      <c r="BC15" s="55" t="s"/>
      <c r="BD15" s="55" t="s"/>
      <c r="BE15" s="55" t="s"/>
      <c r="BF15" s="55" t="s"/>
      <c r="BG15" s="37" t="s"/>
      <c r="BH15" s="37" t="s"/>
      <c r="BI15" s="37" t="s"/>
      <c r="BJ15" s="37" t="s"/>
      <c r="BK15" s="37" t="s"/>
      <c r="BL15" s="55" t="s"/>
      <c r="BM15" s="55" t="s"/>
      <c r="BN15" s="55" t="s"/>
      <c r="BO15" s="55" t="s"/>
      <c r="BP15" s="55" t="s"/>
      <c r="BQ15" s="37" t="s"/>
      <c r="BR15" s="37" t="s"/>
      <c r="BS15" s="37" t="s"/>
      <c r="BT15" s="37" t="s"/>
      <c r="BU15" s="37" t="s"/>
      <c r="BV15" s="55" t="s"/>
      <c r="BW15" s="55" t="s"/>
      <c r="BX15" s="55" t="s"/>
      <c r="BY15" s="55" t="s"/>
      <c r="BZ15" s="55" t="s"/>
      <c r="CA15" s="37" t="s"/>
      <c r="CB15" s="37" t="s"/>
      <c r="CC15" s="37" t="s"/>
      <c r="CD15" s="37" t="s"/>
      <c r="CE15" s="37" t="s"/>
      <c r="CF15" s="55" t="s"/>
      <c r="CG15" s="55" t="s"/>
      <c r="CH15" s="55" t="s"/>
      <c r="CI15" s="55" t="s"/>
      <c r="CJ15" s="55" t="s"/>
      <c r="CK15" s="37" t="s"/>
      <c r="CL15" s="37" t="s"/>
      <c r="CM15" s="37" t="s"/>
      <c r="CN15" s="37" t="s"/>
      <c r="CO15" s="37" t="s"/>
      <c r="CP15" s="55" t="s"/>
      <c r="CQ15" s="55" t="s"/>
      <c r="CR15" s="55" t="s"/>
      <c r="CS15" s="55" t="s"/>
      <c r="CT15" s="55" t="s"/>
      <c r="CU15" s="37" t="s"/>
      <c r="CV15" s="37" t="s"/>
      <c r="CW15" s="37" t="s"/>
      <c r="CX15" s="37" t="s"/>
      <c r="CY15" s="37" t="s"/>
      <c r="CZ15" s="49" t="s"/>
      <c r="DA15" s="49" t="s"/>
      <c r="DB15" s="49" t="s"/>
      <c r="DC15" s="49" t="s"/>
      <c r="DD15" s="49" t="s"/>
      <c r="DE15" s="37" t="s"/>
      <c r="DF15" s="37" t="s"/>
      <c r="DG15" s="37" t="s"/>
      <c r="DH15" s="37" t="s"/>
      <c r="DI15" s="37" t="s"/>
      <c r="DJ15" s="49" t="s"/>
      <c r="DK15" s="49" t="s"/>
      <c r="DL15" s="49" t="s"/>
      <c r="DM15" s="49" t="s"/>
      <c r="DN15" s="49" t="s"/>
      <c r="DO15" s="37" t="s"/>
      <c r="DP15" s="37" t="s"/>
      <c r="DQ15" s="37" t="s"/>
      <c r="DR15" s="37" t="s"/>
      <c r="DS15" s="37" t="s"/>
      <c r="DT15" s="49" t="s"/>
      <c r="DU15" s="49" t="s"/>
      <c r="DV15" s="49" t="s"/>
      <c r="DW15" s="49" t="s"/>
      <c r="DX15" s="49" t="s"/>
      <c r="DY15" s="37" t="s"/>
      <c r="DZ15" s="37" t="s"/>
      <c r="EA15" s="37" t="s"/>
      <c r="EB15" s="37" t="s"/>
      <c r="EC15" s="37" t="s"/>
      <c r="ED15" s="49" t="s"/>
      <c r="EE15" s="49" t="s"/>
      <c r="EF15" s="49" t="s"/>
      <c r="EG15" s="49" t="s"/>
      <c r="EH15" s="49" t="s"/>
      <c r="EI15" s="37" t="s"/>
      <c r="EJ15" s="37" t="s"/>
      <c r="EK15" s="37" t="s"/>
      <c r="EL15" s="37" t="s"/>
      <c r="EM15" s="37" t="s"/>
      <c r="EN15" s="49" t="s"/>
      <c r="EO15" s="49" t="s"/>
      <c r="EP15" s="49" t="s"/>
      <c r="EQ15" s="49" t="s"/>
      <c r="ER15" s="49" t="s"/>
      <c r="ES15" s="37" t="s"/>
      <c r="ET15" s="37" t="s"/>
      <c r="EU15" s="37" t="s"/>
      <c r="EV15" s="37" t="s"/>
      <c r="EW15" s="37" t="s"/>
      <c r="EX15" s="49" t="s"/>
      <c r="EY15" s="49" t="s"/>
      <c r="EZ15" s="49" t="s"/>
      <c r="FA15" s="49" t="s"/>
      <c r="FB15" s="49" t="s"/>
      <c r="FC15" s="37" t="s"/>
      <c r="FD15" s="37" t="s"/>
      <c r="FE15" s="37" t="s"/>
      <c r="FF15" s="37" t="s"/>
      <c r="FG15" s="37" t="s"/>
      <c r="FH15" s="49" t="s"/>
      <c r="FI15" s="49" t="s"/>
      <c r="FJ15" s="49" t="s"/>
      <c r="FK15" s="49" t="s"/>
      <c r="FL15" s="49" t="s"/>
    </row>
    <row r="16" spans="1:168">
      <c r="A16" s="56" t="s">
        <v>16</v>
      </c>
      <c r="B16" s="17" t="s"/>
      <c r="C16" s="18" t="s"/>
      <c r="D16" s="57">
        <f>=COUNTIF(INDIRECT("C8:C"&amp;COUNTA(C:C)+8),#REF!)</f>
        <v>0</v>
      </c>
      <c r="E16" s="58" t="s"/>
      <c r="F16" s="59">
        <f>=SUM(F7:F15)</f>
        <v>5</v>
      </c>
      <c r="G16" s="59">
        <f>=SUM(G7:G14)</f>
        <v>517</v>
      </c>
      <c r="H16" s="59">
        <f>=SUM(H7:H14)</f>
        <v>300</v>
      </c>
      <c r="I16" s="59">
        <f>=SUM(I7:I14)</f>
        <v>190</v>
      </c>
      <c r="J16" s="59">
        <f>=SUM(J7:J14)</f>
        <v>71</v>
      </c>
      <c r="K16" s="59">
        <f>=SUM(K7:K14)</f>
        <v>36</v>
      </c>
      <c r="L16" s="59">
        <f>=SUM(L7:L14)</f>
        <v>50</v>
      </c>
      <c r="M16" s="60">
        <f>=K16/L16</f>
        <v>0.72</v>
      </c>
      <c r="N16" s="59">
        <f>=SUM(N7:N15)</f>
        <v>51</v>
      </c>
      <c r="O16" s="59">
        <f>=SUM(O7:O15)</f>
        <v>13</v>
      </c>
      <c r="P16" s="59">
        <f>=SUM(P7:P15)</f>
        <v>5</v>
      </c>
      <c r="Q16" s="59">
        <f>=SUM(Q7:Q15)</f>
        <v>2</v>
      </c>
      <c r="R16" s="59">
        <f>=SUM(R7:R15)</f>
        <v>0</v>
      </c>
      <c r="S16" s="61">
        <f>=SUM(S7:S15)</f>
        <v>43</v>
      </c>
      <c r="T16" s="61">
        <f>=SUM(T7:T15)</f>
        <v>24</v>
      </c>
      <c r="U16" s="61">
        <f>=SUM(U7:U15)</f>
        <v>14</v>
      </c>
      <c r="V16" s="61">
        <f>=SUM(V7:V15)</f>
        <v>6</v>
      </c>
      <c r="W16" s="61">
        <f>=SUM(W7:W15)</f>
        <v>1</v>
      </c>
      <c r="X16" s="59">
        <f>=SUM(X7:X15)</f>
        <v>28</v>
      </c>
      <c r="Y16" s="59">
        <f>=SUM(Y7:Y15)</f>
        <v>31</v>
      </c>
      <c r="Z16" s="59">
        <f>=SUM(Z7:Z15)</f>
        <v>19</v>
      </c>
      <c r="AA16" s="59">
        <f>=SUM(AA7:AA15)</f>
        <v>6</v>
      </c>
      <c r="AB16" s="59">
        <f>=SUM(AB7:AB15)</f>
        <v>5</v>
      </c>
      <c r="AC16" s="37">
        <f>=SUM(AC7:AC15)</f>
        <v>35</v>
      </c>
      <c r="AD16" s="37">
        <f>=SUM(AD7:AD15)</f>
        <v>19</v>
      </c>
      <c r="AE16" s="37">
        <f>=SUM(AE7:AE15)</f>
        <v>19</v>
      </c>
      <c r="AF16" s="37">
        <f>=SUM(AF7:AF15)</f>
        <v>2</v>
      </c>
      <c r="AG16" s="37">
        <f>=SUM(AG7:AG15)</f>
        <v>0</v>
      </c>
      <c r="AH16" s="59">
        <f>=SUM(AH7:AH15)</f>
        <v>12</v>
      </c>
      <c r="AI16" s="59">
        <f>=SUM(AI7:AI15)</f>
        <v>6</v>
      </c>
      <c r="AJ16" s="59">
        <f>=SUM(AJ7:AJ15)</f>
        <v>4</v>
      </c>
      <c r="AK16" s="59">
        <f>=SUM(AK7:AK15)</f>
        <v>1</v>
      </c>
      <c r="AL16" s="59">
        <f>=SUM(AL7:AL15)</f>
        <v>3</v>
      </c>
      <c r="AM16" s="37">
        <f>=SUM(AM7:AM15)</f>
        <v>56</v>
      </c>
      <c r="AN16" s="37">
        <f>=SUM(AN7:AN15)</f>
        <v>10</v>
      </c>
      <c r="AO16" s="37">
        <f>=SUM(AO7:AO15)</f>
        <v>5</v>
      </c>
      <c r="AP16" s="37">
        <f>=SUM(AP7:AP15)</f>
        <v>2</v>
      </c>
      <c r="AQ16" s="37">
        <f>=SUM(AQ7:AQ15)</f>
        <v>0</v>
      </c>
      <c r="AR16" s="59">
        <f>=SUM(AR7:AR15)</f>
        <v>25</v>
      </c>
      <c r="AS16" s="59">
        <f>=SUM(AS7:AS15)</f>
        <v>27</v>
      </c>
      <c r="AT16" s="59">
        <f>=SUM(AT7:AT15)</f>
        <v>16</v>
      </c>
      <c r="AU16" s="59">
        <f>=SUM(AU7:AU15)</f>
        <v>5</v>
      </c>
      <c r="AV16" s="59">
        <f>=SUM(AV7:AV15)</f>
        <v>1</v>
      </c>
      <c r="AW16" s="37">
        <f>=SUM(AW7:AW15)</f>
        <v>19</v>
      </c>
      <c r="AX16" s="37">
        <f>=SUM(AX7:AX15)</f>
        <v>17</v>
      </c>
      <c r="AY16" s="37">
        <f>=SUM(AY7:AY15)</f>
        <v>10</v>
      </c>
      <c r="AZ16" s="37">
        <f>=SUM(AZ7:AZ15)</f>
        <v>5</v>
      </c>
      <c r="BA16" s="37">
        <f>=SUM(BA7:BA15)</f>
        <v>3</v>
      </c>
      <c r="BB16" s="59">
        <f>=SUM(BB7:BB15)</f>
        <v>24</v>
      </c>
      <c r="BC16" s="59">
        <f>=SUM(BC7:BC15)</f>
        <v>19</v>
      </c>
      <c r="BD16" s="59">
        <f>=SUM(BD7:BD15)</f>
        <v>13</v>
      </c>
      <c r="BE16" s="59">
        <f>=SUM(BE7:BE15)</f>
        <v>1</v>
      </c>
      <c r="BF16" s="59">
        <f>=SUM(BF7:BF15)</f>
        <v>3</v>
      </c>
      <c r="BG16" s="37">
        <f>=SUM(BG7:BG15)</f>
        <v>23</v>
      </c>
      <c r="BH16" s="37">
        <f>=SUM(BH7:BH15)</f>
        <v>27</v>
      </c>
      <c r="BI16" s="37">
        <f>=SUM(BI7:BI15)</f>
        <v>16</v>
      </c>
      <c r="BJ16" s="37">
        <f>=SUM(BJ7:BJ15)</f>
        <v>10</v>
      </c>
      <c r="BK16" s="37">
        <f>=SUM(BK7:BK15)</f>
        <v>0</v>
      </c>
      <c r="BL16" s="59">
        <f>=SUM(BL7:BL15)</f>
        <v>21</v>
      </c>
      <c r="BM16" s="59">
        <f>=SUM(BM7:BM15)</f>
        <v>21</v>
      </c>
      <c r="BN16" s="59">
        <f>=SUM(BN7:BN15)</f>
        <v>17</v>
      </c>
      <c r="BO16" s="59">
        <f>=SUM(BO7:BO15)</f>
        <v>6</v>
      </c>
      <c r="BP16" s="59">
        <f>=SUM(BP7:BP15)</f>
        <v>5</v>
      </c>
      <c r="BQ16" s="37">
        <f>=SUM(BQ7:BQ15)</f>
        <v>39</v>
      </c>
      <c r="BR16" s="37">
        <f>=SUM(BR7:BR15)</f>
        <v>7</v>
      </c>
      <c r="BS16" s="37">
        <f>=SUM(BS7:BS15)</f>
        <v>4</v>
      </c>
      <c r="BT16" s="37">
        <f>=SUM(BT7:BT15)</f>
        <v>0</v>
      </c>
      <c r="BU16" s="37">
        <f>=SUM(BU7:BU15)</f>
        <v>6</v>
      </c>
      <c r="BV16" s="59">
        <f>=SUM(BV7:BV15)</f>
        <v>27</v>
      </c>
      <c r="BW16" s="59">
        <f>=SUM(BW7:BW15)</f>
        <v>8</v>
      </c>
      <c r="BX16" s="59">
        <f>=SUM(BX7:BX15)</f>
        <v>5</v>
      </c>
      <c r="BY16" s="59">
        <f>=SUM(BY7:BY15)</f>
        <v>3</v>
      </c>
      <c r="BZ16" s="59">
        <f>=SUM(BZ7:BZ15)</f>
        <v>0</v>
      </c>
      <c r="CA16" s="37">
        <f>=SUM(CA7:CA15)</f>
        <v>26</v>
      </c>
      <c r="CB16" s="37">
        <f>=SUM(CB7:CB15)</f>
        <v>20</v>
      </c>
      <c r="CC16" s="37">
        <f>=SUM(CC7:CC15)</f>
        <v>11</v>
      </c>
      <c r="CD16" s="37">
        <f>=SUM(CD7:CD15)</f>
        <v>2</v>
      </c>
      <c r="CE16" s="37">
        <f>=SUM(CE7:CE15)</f>
        <v>1</v>
      </c>
      <c r="CF16" s="59">
        <f>=SUM(CF7:CF15)</f>
        <v>31</v>
      </c>
      <c r="CG16" s="59">
        <f>=SUM(CG7:CG15)</f>
        <v>11</v>
      </c>
      <c r="CH16" s="59">
        <f>=SUM(CH7:CH15)</f>
        <v>5</v>
      </c>
      <c r="CI16" s="59">
        <f>=SUM(CI7:CI15)</f>
        <v>4</v>
      </c>
      <c r="CJ16" s="59">
        <f>=SUM(CJ7:CJ15)</f>
        <v>2</v>
      </c>
      <c r="CK16" s="37">
        <f>=SUM(CK7:CK15)</f>
        <v>37</v>
      </c>
      <c r="CL16" s="37">
        <f>=SUM(CL7:CL15)</f>
        <v>21</v>
      </c>
      <c r="CM16" s="37">
        <f>=SUM(CM7:CM15)</f>
        <v>15</v>
      </c>
      <c r="CN16" s="37">
        <f>=SUM(CN7:CN15)</f>
        <v>7</v>
      </c>
      <c r="CO16" s="37">
        <f>=SUM(CO7:CO15)</f>
        <v>2</v>
      </c>
      <c r="CP16" s="59">
        <f>=SUM(CP7:CP15)</f>
        <v>20</v>
      </c>
      <c r="CQ16" s="59">
        <f>=SUM(CQ7:CQ15)</f>
        <v>19</v>
      </c>
      <c r="CR16" s="59">
        <f>=SUM(CR7:CR15)</f>
        <v>12</v>
      </c>
      <c r="CS16" s="59">
        <f>=SUM(CS7:CS15)</f>
        <v>9</v>
      </c>
      <c r="CT16" s="59">
        <f>=SUM(CT7:CT15)</f>
        <v>4</v>
      </c>
      <c r="CU16" s="37">
        <f>=SUM(CU7:CU15)</f>
        <v>0</v>
      </c>
      <c r="CV16" s="37">
        <f>=SUM(CV7:CV15)</f>
        <v>0</v>
      </c>
      <c r="CW16" s="37">
        <f>=SUM(CW7:CW15)</f>
        <v>0</v>
      </c>
      <c r="CX16" s="37">
        <f>=SUM(CX7:CX15)</f>
        <v>0</v>
      </c>
      <c r="CY16" s="37">
        <f>=SUM(CY7:CY15)</f>
        <v>0</v>
      </c>
      <c r="CZ16" s="59">
        <f>=SUM(CZ7:CZ15)</f>
        <v>0</v>
      </c>
      <c r="DA16" s="59">
        <f>=SUM(DA7:DA15)</f>
        <v>0</v>
      </c>
      <c r="DB16" s="59">
        <f>=SUM(DB7:DB15)</f>
        <v>0</v>
      </c>
      <c r="DC16" s="59">
        <f>=SUM(DC7:DC15)</f>
        <v>0</v>
      </c>
      <c r="DD16" s="59">
        <f>=SUM(DD7:DD15)</f>
        <v>0</v>
      </c>
      <c r="DE16" s="37">
        <f>=SUM(DE7:DE15)</f>
        <v>0</v>
      </c>
      <c r="DF16" s="37">
        <f>=SUM(DF7:DF15)</f>
        <v>0</v>
      </c>
      <c r="DG16" s="37">
        <f>=SUM(DG7:DG15)</f>
        <v>0</v>
      </c>
      <c r="DH16" s="37">
        <f>=SUM(DH7:DH15)</f>
        <v>0</v>
      </c>
      <c r="DI16" s="37">
        <f>=SUM(DI7:DI15)</f>
        <v>0</v>
      </c>
      <c r="DJ16" s="59">
        <f>=SUM(DJ7:DJ15)</f>
        <v>0</v>
      </c>
      <c r="DK16" s="59">
        <f>=SUM(DK7:DK15)</f>
        <v>0</v>
      </c>
      <c r="DL16" s="59">
        <f>=SUM(DL7:DL15)</f>
        <v>0</v>
      </c>
      <c r="DM16" s="59">
        <f>=SUM(DM7:DM15)</f>
        <v>0</v>
      </c>
      <c r="DN16" s="59">
        <f>=SUM(DN7:DN15)</f>
        <v>0</v>
      </c>
      <c r="DO16" s="37">
        <f>=SUM(DO7:DO15)</f>
        <v>0</v>
      </c>
      <c r="DP16" s="37">
        <f>=SUM(DP7:DP15)</f>
        <v>0</v>
      </c>
      <c r="DQ16" s="37">
        <f>=SUM(DQ7:DQ15)</f>
        <v>0</v>
      </c>
      <c r="DR16" s="37">
        <f>=SUM(DR7:DR15)</f>
        <v>0</v>
      </c>
      <c r="DS16" s="37">
        <f>=SUM(DS7:DS15)</f>
        <v>0</v>
      </c>
      <c r="DT16" s="59">
        <f>=SUM(DT7:DT15)</f>
        <v>0</v>
      </c>
      <c r="DU16" s="59">
        <f>=SUM(DU7:DU15)</f>
        <v>0</v>
      </c>
      <c r="DV16" s="59">
        <f>=SUM(DV7:DV15)</f>
        <v>0</v>
      </c>
      <c r="DW16" s="59">
        <f>=SUM(DW7:DW15)</f>
        <v>0</v>
      </c>
      <c r="DX16" s="59">
        <f>=SUM(DX7:DX15)</f>
        <v>0</v>
      </c>
      <c r="DY16" s="37">
        <f>=SUM(DY7:DY15)</f>
        <v>0</v>
      </c>
      <c r="DZ16" s="37">
        <f>=SUM(DZ7:DZ15)</f>
        <v>0</v>
      </c>
      <c r="EA16" s="37">
        <f>=SUM(EA7:EA15)</f>
        <v>0</v>
      </c>
      <c r="EB16" s="37">
        <f>=SUM(EB7:EB15)</f>
        <v>0</v>
      </c>
      <c r="EC16" s="37">
        <f>=SUM(EC7:EC15)</f>
        <v>0</v>
      </c>
      <c r="ED16" s="59">
        <f>=SUM(ED7:ED15)</f>
        <v>0</v>
      </c>
      <c r="EE16" s="59">
        <f>=SUM(EE7:EE15)</f>
        <v>0</v>
      </c>
      <c r="EF16" s="59">
        <f>=SUM(EF7:EF15)</f>
        <v>0</v>
      </c>
      <c r="EG16" s="59">
        <f>=SUM(EG7:EG15)</f>
        <v>0</v>
      </c>
      <c r="EH16" s="59">
        <f>=SUM(EH7:EH15)</f>
        <v>0</v>
      </c>
      <c r="EI16" s="37">
        <f>=SUM(EI7:EI15)</f>
        <v>0</v>
      </c>
      <c r="EJ16" s="37">
        <f>=SUM(EJ7:EJ15)</f>
        <v>0</v>
      </c>
      <c r="EK16" s="37">
        <f>=SUM(EK7:EK15)</f>
        <v>0</v>
      </c>
      <c r="EL16" s="37">
        <f>=SUM(EL7:EL15)</f>
        <v>0</v>
      </c>
      <c r="EM16" s="37">
        <f>=SUM(EM7:EM15)</f>
        <v>0</v>
      </c>
      <c r="EN16" s="59">
        <f>=SUM(EN7:EN15)</f>
        <v>0</v>
      </c>
      <c r="EO16" s="59">
        <f>=SUM(EO7:EO15)</f>
        <v>0</v>
      </c>
      <c r="EP16" s="59">
        <f>=SUM(EP7:EP15)</f>
        <v>0</v>
      </c>
      <c r="EQ16" s="59">
        <f>=SUM(EQ7:EQ15)</f>
        <v>0</v>
      </c>
      <c r="ER16" s="59">
        <f>=SUM(ER7:ER15)</f>
        <v>0</v>
      </c>
      <c r="ES16" s="37">
        <f>=SUM(ES7:ES15)</f>
        <v>0</v>
      </c>
      <c r="ET16" s="37">
        <f>=SUM(ET7:ET15)</f>
        <v>0</v>
      </c>
      <c r="EU16" s="37">
        <f>=SUM(EU7:EU15)</f>
        <v>0</v>
      </c>
      <c r="EV16" s="37">
        <f>=SUM(EV7:EV15)</f>
        <v>0</v>
      </c>
      <c r="EW16" s="37">
        <f>=SUM(EW7:EW15)</f>
        <v>0</v>
      </c>
      <c r="EX16" s="59">
        <f>=SUM(EX7:EX15)</f>
        <v>0</v>
      </c>
      <c r="EY16" s="59">
        <f>=SUM(EY7:EY15)</f>
        <v>0</v>
      </c>
      <c r="EZ16" s="59">
        <f>=SUM(EZ7:EZ15)</f>
        <v>0</v>
      </c>
      <c r="FA16" s="59">
        <f>=SUM(FA7:FA15)</f>
        <v>0</v>
      </c>
      <c r="FB16" s="59">
        <f>=SUM(FB7:FB15)</f>
        <v>0</v>
      </c>
      <c r="FC16" s="37">
        <f>=SUM(FC7:FC15)</f>
        <v>0</v>
      </c>
      <c r="FD16" s="37">
        <f>=SUM(FD7:FD15)</f>
        <v>0</v>
      </c>
      <c r="FE16" s="37">
        <f>=SUM(FE7:FE15)</f>
        <v>0</v>
      </c>
      <c r="FF16" s="37">
        <f>=SUM(FF7:FF15)</f>
        <v>0</v>
      </c>
      <c r="FG16" s="37">
        <f>=SUM(FG7:FG15)</f>
        <v>0</v>
      </c>
      <c r="FH16" s="59">
        <f>=SUM(FH7:FH15)</f>
        <v>0</v>
      </c>
      <c r="FI16" s="59">
        <f>=SUM(FI7:FI15)</f>
        <v>0</v>
      </c>
      <c r="FJ16" s="59">
        <f>=SUM(FJ7:FJ15)</f>
        <v>0</v>
      </c>
      <c r="FK16" s="59">
        <f>=SUM(FK7:FK15)</f>
        <v>0</v>
      </c>
      <c r="FL16" s="59">
        <f>=SUM(FL7:FL15)</f>
        <v>0</v>
      </c>
    </row>
    <row r="21" spans="83:83">
      <c r="CE21" t="s">
        <v>28</v>
      </c>
    </row>
  </sheetData>
  <mergeCells count="34"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  <mergeCell ref="CU5:CY5"/>
    <mergeCell ref="CZ5:DD5"/>
    <mergeCell ref="DE5:DI5"/>
    <mergeCell ref="DJ5:DN5"/>
    <mergeCell ref="DO5:DS5"/>
    <mergeCell ref="DT5:DX5"/>
    <mergeCell ref="DY5:EC5"/>
    <mergeCell ref="ED5:EH5"/>
    <mergeCell ref="EI5:EM5"/>
    <mergeCell ref="EN5:ER5"/>
    <mergeCell ref="ES5:EW5"/>
    <mergeCell ref="EX5:FB5"/>
    <mergeCell ref="FC5:FG5"/>
    <mergeCell ref="FH5:FL5"/>
    <mergeCell ref="G5:H5"/>
    <mergeCell ref="B3:D3"/>
    <mergeCell ref="A16:C16"/>
  </mergeCells>
  <dataValidations>
    <dataValidation type="date" errorStyle="stop" allowBlank="1" showDropDown="0" showInputMessage="1" showErrorMessage="1" prompt="" sqref="F5"/>
  </dataValidation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2026-09-18T09:46:06Z</dcterms:created>
  <dcterms:modified xsi:type="dcterms:W3CDTF">2026-09-18T09:46:06Z</dcterms:modified>
</cp:coreProperties>
</file>